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cd4596d9034b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ae228913ed07413c"/>
    <x:sheet xmlns:r="http://schemas.openxmlformats.org/officeDocument/2006/relationships" name="GPR_Data" sheetId="2" r:id="Rd6d0eaceb9b2487a"/>
    <x:sheet xmlns:r="http://schemas.openxmlformats.org/officeDocument/2006/relationships" name="Prediction_Grid" sheetId="3" r:id="Rf967f51e6bff48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2"/>
      <x:color rgb="FF065F46"/>
      <x:name val="Carlito"/>
    </x:font>
    <x:font>
      <x:sz val="10"/>
      <x:color rgb="FF0F172A"/>
      <x:name val="Consolas"/>
    </x:font>
    <x:font>
      <x:b/>
      <x:sz val="11"/>
      <x:color rgb="FF9A3412"/>
      <x:name val="Carlito"/>
    </x:font>
    <x:font>
      <x:b/>
      <x:sz val="11"/>
      <x:color rgb="FF1D4ED8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34E4A"/>
      </x:patternFill>
    </x:fill>
    <x:fill>
      <x:patternFill patternType="solid">
        <x:fgColor rgb="FFECFDF5"/>
      </x:patternFill>
    </x:fill>
    <x:fill>
      <x:patternFill patternType="solid">
        <x:fgColor rgb="FFD1FAE5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  <x:fill>
      <x:patternFill patternType="solid">
        <x:fgColor rgb="FFEFF6FF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center" wrapText="1"/>
    </x:xf>
    <x:xf numFmtId="200" fontId="0" fillId="7" borderId="0" xfId="0" applyNumberFormat="1" applyFont="1" applyFill="1" applyBorder="1"/>
    <x:xf numFmtId="200" fontId="0" fillId="7" borderId="1" xfId="0" applyNumberFormat="1" applyFont="1" applyFill="1" applyBorder="1"/>
    <x:xf numFmtId="200" fontId="0" fillId="6" borderId="0" xfId="0" applyNumberFormat="1" applyFont="1" applyFill="1" applyBorder="1"/>
    <x:xf numFmtId="200" fontId="0" fillId="6" borderId="1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ed215c04d84d68" /><Relationship Type="http://schemas.openxmlformats.org/officeDocument/2006/relationships/theme" Target="/xl/theme/theme1.xml" Id="R4c6ffa7355104082" /><Relationship Type="http://schemas.openxmlformats.org/officeDocument/2006/relationships/sharedStrings" Target="/xl/sharedStrings.xml" Id="Raadb74e1e88c4e45" /><Relationship Type="http://schemas.openxmlformats.org/officeDocument/2006/relationships/worksheet" Target="/xl/worksheets/sheet1.xml" Id="Rae228913ed07413c" /><Relationship Type="http://schemas.openxmlformats.org/officeDocument/2006/relationships/worksheet" Target="/xl/worksheets/sheet2.xml" Id="Rd6d0eaceb9b2487a" /><Relationship Type="http://schemas.openxmlformats.org/officeDocument/2006/relationships/worksheet" Target="/xl/worksheets/sheet3.xml" Id="Rf967f51e6bff488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f6fd35c1315445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e19faab1d189452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Observed Data for GPR</a:t>
            </a:r>
          </a:p>
        </c:rich>
      </c:tx>
    </c:title>
    <c:plotArea>
      <c:scatterChart>
        <c:scatterStyle val="marker"/>
        <c:ser>
          <c:idx val="0"/>
          <c:order val="0"/>
          <c:tx>
            <c:v>Observed data</c:v>
          </c:tx>
          <c:xVal>
            <c:numLit>
              <c:formatCode>General</c:formatCode>
              <c:ptCount val="40"/>
              <c:pt idx="0">
                <c:v>0.545544861128128</c:v>
              </c:pt>
              <c:pt idx="1">
                <c:v>0.6880772572372926</c:v>
              </c:pt>
              <c:pt idx="2">
                <c:v>0.9</c:v>
              </c:pt>
              <c:pt idx="3">
                <c:v>1.1044026314960627</c:v>
              </c:pt>
              <c:pt idx="4">
                <c:v>1.707351701776841</c:v>
              </c:pt>
              <c:pt idx="5">
                <c:v>1.9932894469586193</c:v>
              </c:pt>
              <c:pt idx="6">
                <c:v>2.0123396350747904</c:v>
              </c:pt>
              <c:pt idx="7">
                <c:v>2.0416209391613815</c:v>
              </c:pt>
              <c:pt idx="8">
                <c:v>2.4792561054665057</c:v>
              </c:pt>
              <c:pt idx="9">
                <c:v>2.8542335043387905</c:v>
              </c:pt>
              <c:pt idx="10">
                <c:v>3.078945722049328</c:v>
              </c:pt>
              <c:pt idx="11">
                <c:v>3.3467867483594818</c:v>
              </c:pt>
              <c:pt idx="12">
                <c:v>3.4006154039350456</c:v>
              </c:pt>
              <c:pt idx="13">
                <c:v>3.451470082163205</c:v>
              </c:pt>
              <c:pt idx="14">
                <c:v>3.6</c:v>
              </c:pt>
              <c:pt idx="15">
                <c:v>3.605598775737485</c:v>
              </c:pt>
              <c:pt idx="16">
                <c:v>3.7561112636278056</c:v>
              </c:pt>
              <c:pt idx="17">
                <c:v>4.042412953164127</c:v>
              </c:pt>
              <c:pt idx="18">
                <c:v>4.247613876874374</c:v>
              </c:pt>
              <c:pt idx="19">
                <c:v>4.7</c:v>
              </c:pt>
              <c:pt idx="20">
                <c:v>5.2</c:v>
              </c:pt>
              <c:pt idx="21">
                <c:v>5.6</c:v>
              </c:pt>
              <c:pt idx="22">
                <c:v>6.025215063148915</c:v>
              </c:pt>
              <c:pt idx="23">
                <c:v>6.105269024416701</c:v>
              </c:pt>
              <c:pt idx="24">
                <c:v>6.467157968270191</c:v>
              </c:pt>
              <c:pt idx="25">
                <c:v>6.62855483140787</c:v>
              </c:pt>
              <c:pt idx="26">
                <c:v>7.153301432552608</c:v>
              </c:pt>
              <c:pt idx="27">
                <c:v>7.2681038725194735</c:v>
              </c:pt>
              <c:pt idx="28">
                <c:v>7.331838824139475</c:v>
              </c:pt>
              <c:pt idx="29">
                <c:v>7.716884014908136</c:v>
              </c:pt>
              <c:pt idx="30">
                <c:v>8.37665759648826</c:v>
              </c:pt>
              <c:pt idx="31">
                <c:v>8.582195812969818</c:v>
              </c:pt>
              <c:pt idx="32">
                <c:v>8.829048623631268</c:v>
              </c:pt>
              <c:pt idx="33">
                <c:v>8.882350960341494</c:v>
              </c:pt>
              <c:pt idx="34">
                <c:v>8.9</c:v>
              </c:pt>
              <c:pt idx="35">
                <c:v>8.963533988295048</c:v>
              </c:pt>
              <c:pt idx="36">
                <c:v>9.160524687970328</c:v>
              </c:pt>
              <c:pt idx="37">
                <c:v>9.422484485288791</c:v>
              </c:pt>
              <c:pt idx="38">
                <c:v>9.72003892973684</c:v>
              </c:pt>
              <c:pt idx="39">
                <c:v>9.732792097579612</c:v>
              </c:pt>
            </c:numLit>
          </c:xVal>
          <c:yVal>
            <c:numLit>
              <c:formatCode>General</c:formatCode>
              <c:ptCount val="40"/>
              <c:pt idx="0">
                <c:v>0.8591848470339053</c:v>
              </c:pt>
              <c:pt idx="1">
                <c:v>0.9521939274821776</c:v>
              </c:pt>
              <c:pt idx="2">
                <c:v>0.90158621197175</c:v>
              </c:pt>
              <c:pt idx="3">
                <c:v>0.7371951268925233</c:v>
              </c:pt>
              <c:pt idx="4">
                <c:v>0.657050403930619</c:v>
              </c:pt>
              <c:pt idx="5">
                <c:v>0.6523854014153779</c:v>
              </c:pt>
              <c:pt idx="6">
                <c:v>0.8698524853969152</c:v>
              </c:pt>
              <c:pt idx="7">
                <c:v>0.8768277413094304</c:v>
              </c:pt>
              <c:pt idx="8">
                <c:v>0.5471983883220477</c:v>
              </c:pt>
              <c:pt idx="9">
                <c:v>-0.17983982367412404</c:v>
              </c:pt>
              <c:pt idx="10">
                <c:v>-0.422786493984322</c:v>
              </c:pt>
              <c:pt idx="11">
                <c:v>-0.8218712761514254</c:v>
              </c:pt>
              <c:pt idx="12">
                <c:v>-0.8640696634059652</c:v>
              </c:pt>
              <c:pt idx="13">
                <c:v>-0.8126794490898184</c:v>
              </c:pt>
              <c:pt idx="14">
                <c:v>-1.0590667632191633</c:v>
              </c:pt>
              <c:pt idx="15">
                <c:v>-0.998580739025297</c:v>
              </c:pt>
              <c:pt idx="16">
                <c:v>-0.9329564002532933</c:v>
              </c:pt>
              <c:pt idx="17">
                <c:v>-0.7946369425813208</c:v>
              </c:pt>
              <c:pt idx="18">
                <c:v>-0.4353735566413733</c:v>
              </c:pt>
              <c:pt idx="19">
                <c:v>0.25203078721794514</c:v>
              </c:pt>
              <c:pt idx="20">
                <c:v>1.0225647777847378</c:v>
              </c:pt>
              <c:pt idx="21">
                <c:v>1.1976858735214795</c:v>
              </c:pt>
              <c:pt idx="22">
                <c:v>1.296785113102201</c:v>
              </c:pt>
              <c:pt idx="23">
                <c:v>0.9504712944807517</c:v>
              </c:pt>
              <c:pt idx="24">
                <c:v>1.006575509469255</c:v>
              </c:pt>
              <c:pt idx="25">
                <c:v>0.9549543312057023</c:v>
              </c:pt>
              <c:pt idx="26">
                <c:v>0.8005104939964303</c:v>
              </c:pt>
              <c:pt idx="27">
                <c:v>0.7887273991761682</c:v>
              </c:pt>
              <c:pt idx="28">
                <c:v>1.008121507931033</c:v>
              </c:pt>
              <c:pt idx="29">
                <c:v>0.23319574972622584</c:v>
              </c:pt>
              <c:pt idx="30">
                <c:v>-0.3533216733236225</c:v>
              </c:pt>
              <c:pt idx="31">
                <c:v>-0.853853657261487</c:v>
              </c:pt>
              <c:pt idx="32">
                <c:v>-0.5787298832667248</c:v>
              </c:pt>
              <c:pt idx="33">
                <c:v>-0.4587099219806343</c:v>
              </c:pt>
              <c:pt idx="34">
                <c:v>-0.39126998590149187</c:v>
              </c:pt>
              <c:pt idx="35">
                <c:v>-0.3067102655228297</c:v>
              </c:pt>
              <c:pt idx="36">
                <c:v>0.013470869311659209</c:v>
              </c:pt>
              <c:pt idx="37">
                <c:v>0.5589428551329411</c:v>
              </c:pt>
              <c:pt idx="38">
                <c:v>1.0304408095545536</c:v>
              </c:pt>
              <c:pt idx="39">
                <c:v>1.039078994482567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y</a:t>
                </a:r>
              </a:p>
            </c:rich>
          </c:tx>
        </c:title>
        <c:numFmt formatCode="General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X</a:t>
                </a:r>
              </a:p>
            </c:rich>
          </c:tx>
        </c:title>
        <c:numFmt formatCode="General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True Function (Reference)</a:t>
            </a:r>
          </a:p>
        </c:rich>
      </c:tx>
    </c:title>
    <c:plotArea>
      <c:lineChart>
        <c:grouping val="standard"/>
        <c:ser>
          <c:idx val="0"/>
          <c:order val="0"/>
          <c:tx>
            <c:v>y_true</c:v>
          </c:tx>
          <c:marker>
            <c:symbol val="none"/>
          </c:marker>
          <c:cat>
            <c:numLit>
              <c:formatCode>General</c:formatCode>
              <c:ptCount val="201"/>
              <c:pt idx="0">
                <c:v>0</c:v>
              </c:pt>
              <c:pt idx="1">
                <c:v>0.05</c:v>
              </c:pt>
              <c:pt idx="2">
                <c:v>0.1</c:v>
              </c:pt>
              <c:pt idx="3">
                <c:v>0.15</c:v>
              </c:pt>
              <c:pt idx="4">
                <c:v>0.2</c:v>
              </c:pt>
              <c:pt idx="5">
                <c:v>0.25</c:v>
              </c:pt>
              <c:pt idx="6">
                <c:v>0.3</c:v>
              </c:pt>
              <c:pt idx="7">
                <c:v>0.35</c:v>
              </c:pt>
              <c:pt idx="8">
                <c:v>0.4</c:v>
              </c:pt>
              <c:pt idx="9">
                <c:v>0.45</c:v>
              </c:pt>
              <c:pt idx="10">
                <c:v>0.5</c:v>
              </c:pt>
              <c:pt idx="11">
                <c:v>0.55</c:v>
              </c:pt>
              <c:pt idx="12">
                <c:v>0.6</c:v>
              </c:pt>
              <c:pt idx="13">
                <c:v>0.65</c:v>
              </c:pt>
              <c:pt idx="14">
                <c:v>0.7</c:v>
              </c:pt>
              <c:pt idx="15">
                <c:v>0.75</c:v>
              </c:pt>
              <c:pt idx="16">
                <c:v>0.8</c:v>
              </c:pt>
              <c:pt idx="17">
                <c:v>0.85</c:v>
              </c:pt>
              <c:pt idx="18">
                <c:v>0.9</c:v>
              </c:pt>
              <c:pt idx="19">
                <c:v>0.95</c:v>
              </c:pt>
              <c:pt idx="20">
                <c:v>1</c:v>
              </c:pt>
              <c:pt idx="21">
                <c:v>1.05</c:v>
              </c:pt>
              <c:pt idx="22">
                <c:v>1.1</c:v>
              </c:pt>
              <c:pt idx="23">
                <c:v>1.15</c:v>
              </c:pt>
              <c:pt idx="24">
                <c:v>1.2</c:v>
              </c:pt>
              <c:pt idx="25">
                <c:v>1.25</c:v>
              </c:pt>
              <c:pt idx="26">
                <c:v>1.3</c:v>
              </c:pt>
              <c:pt idx="27">
                <c:v>1.35</c:v>
              </c:pt>
              <c:pt idx="28">
                <c:v>1.4</c:v>
              </c:pt>
              <c:pt idx="29">
                <c:v>1.45</c:v>
              </c:pt>
              <c:pt idx="30">
                <c:v>1.5</c:v>
              </c:pt>
              <c:pt idx="31">
                <c:v>1.55</c:v>
              </c:pt>
              <c:pt idx="32">
                <c:v>1.6</c:v>
              </c:pt>
              <c:pt idx="33">
                <c:v>1.65</c:v>
              </c:pt>
              <c:pt idx="34">
                <c:v>1.7</c:v>
              </c:pt>
              <c:pt idx="35">
                <c:v>1.75</c:v>
              </c:pt>
              <c:pt idx="36">
                <c:v>1.8</c:v>
              </c:pt>
              <c:pt idx="37">
                <c:v>1.85</c:v>
              </c:pt>
              <c:pt idx="38">
                <c:v>1.9</c:v>
              </c:pt>
              <c:pt idx="39">
                <c:v>1.95</c:v>
              </c:pt>
              <c:pt idx="40">
                <c:v>2</c:v>
              </c:pt>
              <c:pt idx="41">
                <c:v>2.05</c:v>
              </c:pt>
              <c:pt idx="42">
                <c:v>2.1</c:v>
              </c:pt>
              <c:pt idx="43">
                <c:v>2.15</c:v>
              </c:pt>
              <c:pt idx="44">
                <c:v>2.2</c:v>
              </c:pt>
              <c:pt idx="45">
                <c:v>2.25</c:v>
              </c:pt>
              <c:pt idx="46">
                <c:v>2.3</c:v>
              </c:pt>
              <c:pt idx="47">
                <c:v>2.35</c:v>
              </c:pt>
              <c:pt idx="48">
                <c:v>2.4</c:v>
              </c:pt>
              <c:pt idx="49">
                <c:v>2.45</c:v>
              </c:pt>
              <c:pt idx="50">
                <c:v>2.5</c:v>
              </c:pt>
              <c:pt idx="51">
                <c:v>2.55</c:v>
              </c:pt>
              <c:pt idx="52">
                <c:v>2.6</c:v>
              </c:pt>
              <c:pt idx="53">
                <c:v>2.65</c:v>
              </c:pt>
              <c:pt idx="54">
                <c:v>2.7</c:v>
              </c:pt>
              <c:pt idx="55">
                <c:v>2.75</c:v>
              </c:pt>
              <c:pt idx="56">
                <c:v>2.8</c:v>
              </c:pt>
              <c:pt idx="57">
                <c:v>2.85</c:v>
              </c:pt>
              <c:pt idx="58">
                <c:v>2.9</c:v>
              </c:pt>
              <c:pt idx="59">
                <c:v>2.95</c:v>
              </c:pt>
              <c:pt idx="60">
                <c:v>3</c:v>
              </c:pt>
              <c:pt idx="61">
                <c:v>3.05</c:v>
              </c:pt>
              <c:pt idx="62">
                <c:v>3.1</c:v>
              </c:pt>
              <c:pt idx="63">
                <c:v>3.15</c:v>
              </c:pt>
              <c:pt idx="64">
                <c:v>3.2</c:v>
              </c:pt>
              <c:pt idx="65">
                <c:v>3.25</c:v>
              </c:pt>
              <c:pt idx="66">
                <c:v>3.3</c:v>
              </c:pt>
              <c:pt idx="67">
                <c:v>3.35</c:v>
              </c:pt>
              <c:pt idx="68">
                <c:v>3.4</c:v>
              </c:pt>
              <c:pt idx="69">
                <c:v>3.45</c:v>
              </c:pt>
              <c:pt idx="70">
                <c:v>3.5</c:v>
              </c:pt>
              <c:pt idx="71">
                <c:v>3.55</c:v>
              </c:pt>
              <c:pt idx="72">
                <c:v>3.6</c:v>
              </c:pt>
              <c:pt idx="73">
                <c:v>3.65</c:v>
              </c:pt>
              <c:pt idx="74">
                <c:v>3.7</c:v>
              </c:pt>
              <c:pt idx="75">
                <c:v>3.75</c:v>
              </c:pt>
              <c:pt idx="76">
                <c:v>3.8</c:v>
              </c:pt>
              <c:pt idx="77">
                <c:v>3.85</c:v>
              </c:pt>
              <c:pt idx="78">
                <c:v>3.9</c:v>
              </c:pt>
              <c:pt idx="79">
                <c:v>3.95</c:v>
              </c:pt>
              <c:pt idx="80">
                <c:v>4</c:v>
              </c:pt>
              <c:pt idx="81">
                <c:v>4.05</c:v>
              </c:pt>
              <c:pt idx="82">
                <c:v>4.1</c:v>
              </c:pt>
              <c:pt idx="83">
                <c:v>4.15</c:v>
              </c:pt>
              <c:pt idx="84">
                <c:v>4.2</c:v>
              </c:pt>
              <c:pt idx="85">
                <c:v>4.25</c:v>
              </c:pt>
              <c:pt idx="86">
                <c:v>4.3</c:v>
              </c:pt>
              <c:pt idx="87">
                <c:v>4.35</c:v>
              </c:pt>
              <c:pt idx="88">
                <c:v>4.4</c:v>
              </c:pt>
              <c:pt idx="89">
                <c:v>4.45</c:v>
              </c:pt>
              <c:pt idx="90">
                <c:v>4.5</c:v>
              </c:pt>
              <c:pt idx="91">
                <c:v>4.55</c:v>
              </c:pt>
              <c:pt idx="92">
                <c:v>4.6</c:v>
              </c:pt>
              <c:pt idx="93">
                <c:v>4.65</c:v>
              </c:pt>
              <c:pt idx="94">
                <c:v>4.7</c:v>
              </c:pt>
              <c:pt idx="95">
                <c:v>4.75</c:v>
              </c:pt>
              <c:pt idx="96">
                <c:v>4.8</c:v>
              </c:pt>
              <c:pt idx="97">
                <c:v>4.85</c:v>
              </c:pt>
              <c:pt idx="98">
                <c:v>4.9</c:v>
              </c:pt>
              <c:pt idx="99">
                <c:v>4.95</c:v>
              </c:pt>
              <c:pt idx="100">
                <c:v>5</c:v>
              </c:pt>
              <c:pt idx="101">
                <c:v>5.05</c:v>
              </c:pt>
              <c:pt idx="102">
                <c:v>5.1</c:v>
              </c:pt>
              <c:pt idx="103">
                <c:v>5.15</c:v>
              </c:pt>
              <c:pt idx="104">
                <c:v>5.2</c:v>
              </c:pt>
              <c:pt idx="105">
                <c:v>5.25</c:v>
              </c:pt>
              <c:pt idx="106">
                <c:v>5.3</c:v>
              </c:pt>
              <c:pt idx="107">
                <c:v>5.35</c:v>
              </c:pt>
              <c:pt idx="108">
                <c:v>5.4</c:v>
              </c:pt>
              <c:pt idx="109">
                <c:v>5.45</c:v>
              </c:pt>
              <c:pt idx="110">
                <c:v>5.5</c:v>
              </c:pt>
              <c:pt idx="111">
                <c:v>5.55</c:v>
              </c:pt>
              <c:pt idx="112">
                <c:v>5.6</c:v>
              </c:pt>
              <c:pt idx="113">
                <c:v>5.65</c:v>
              </c:pt>
              <c:pt idx="114">
                <c:v>5.7</c:v>
              </c:pt>
              <c:pt idx="115">
                <c:v>5.75</c:v>
              </c:pt>
              <c:pt idx="116">
                <c:v>5.8</c:v>
              </c:pt>
              <c:pt idx="117">
                <c:v>5.85</c:v>
              </c:pt>
              <c:pt idx="118">
                <c:v>5.9</c:v>
              </c:pt>
              <c:pt idx="119">
                <c:v>5.95</c:v>
              </c:pt>
              <c:pt idx="120">
                <c:v>6</c:v>
              </c:pt>
              <c:pt idx="121">
                <c:v>6.05</c:v>
              </c:pt>
              <c:pt idx="122">
                <c:v>6.1</c:v>
              </c:pt>
              <c:pt idx="123">
                <c:v>6.15</c:v>
              </c:pt>
              <c:pt idx="124">
                <c:v>6.2</c:v>
              </c:pt>
              <c:pt idx="125">
                <c:v>6.25</c:v>
              </c:pt>
              <c:pt idx="126">
                <c:v>6.3</c:v>
              </c:pt>
              <c:pt idx="127">
                <c:v>6.35</c:v>
              </c:pt>
              <c:pt idx="128">
                <c:v>6.4</c:v>
              </c:pt>
              <c:pt idx="129">
                <c:v>6.45</c:v>
              </c:pt>
              <c:pt idx="130">
                <c:v>6.5</c:v>
              </c:pt>
              <c:pt idx="131">
                <c:v>6.55</c:v>
              </c:pt>
              <c:pt idx="132">
                <c:v>6.6</c:v>
              </c:pt>
              <c:pt idx="133">
                <c:v>6.65</c:v>
              </c:pt>
              <c:pt idx="134">
                <c:v>6.7</c:v>
              </c:pt>
              <c:pt idx="135">
                <c:v>6.75</c:v>
              </c:pt>
              <c:pt idx="136">
                <c:v>6.8</c:v>
              </c:pt>
              <c:pt idx="137">
                <c:v>6.85</c:v>
              </c:pt>
              <c:pt idx="138">
                <c:v>6.9</c:v>
              </c:pt>
              <c:pt idx="139">
                <c:v>6.95</c:v>
              </c:pt>
              <c:pt idx="140">
                <c:v>7</c:v>
              </c:pt>
              <c:pt idx="141">
                <c:v>7.05</c:v>
              </c:pt>
              <c:pt idx="142">
                <c:v>7.1</c:v>
              </c:pt>
              <c:pt idx="143">
                <c:v>7.15</c:v>
              </c:pt>
              <c:pt idx="144">
                <c:v>7.2</c:v>
              </c:pt>
              <c:pt idx="145">
                <c:v>7.25</c:v>
              </c:pt>
              <c:pt idx="146">
                <c:v>7.3</c:v>
              </c:pt>
              <c:pt idx="147">
                <c:v>7.35</c:v>
              </c:pt>
              <c:pt idx="148">
                <c:v>7.4</c:v>
              </c:pt>
              <c:pt idx="149">
                <c:v>7.45</c:v>
              </c:pt>
              <c:pt idx="150">
                <c:v>7.5</c:v>
              </c:pt>
              <c:pt idx="151">
                <c:v>7.55</c:v>
              </c:pt>
              <c:pt idx="152">
                <c:v>7.6</c:v>
              </c:pt>
              <c:pt idx="153">
                <c:v>7.65</c:v>
              </c:pt>
              <c:pt idx="154">
                <c:v>7.7</c:v>
              </c:pt>
              <c:pt idx="155">
                <c:v>7.75</c:v>
              </c:pt>
              <c:pt idx="156">
                <c:v>7.8</c:v>
              </c:pt>
              <c:pt idx="157">
                <c:v>7.85</c:v>
              </c:pt>
              <c:pt idx="158">
                <c:v>7.9</c:v>
              </c:pt>
              <c:pt idx="159">
                <c:v>7.95</c:v>
              </c:pt>
              <c:pt idx="160">
                <c:v>8</c:v>
              </c:pt>
              <c:pt idx="161">
                <c:v>8.05</c:v>
              </c:pt>
              <c:pt idx="162">
                <c:v>8.1</c:v>
              </c:pt>
              <c:pt idx="163">
                <c:v>8.15</c:v>
              </c:pt>
              <c:pt idx="164">
                <c:v>8.2</c:v>
              </c:pt>
              <c:pt idx="165">
                <c:v>8.25</c:v>
              </c:pt>
              <c:pt idx="166">
                <c:v>8.3</c:v>
              </c:pt>
              <c:pt idx="167">
                <c:v>8.35</c:v>
              </c:pt>
              <c:pt idx="168">
                <c:v>8.4</c:v>
              </c:pt>
              <c:pt idx="169">
                <c:v>8.45</c:v>
              </c:pt>
              <c:pt idx="170">
                <c:v>8.5</c:v>
              </c:pt>
              <c:pt idx="171">
                <c:v>8.55</c:v>
              </c:pt>
              <c:pt idx="172">
                <c:v>8.6</c:v>
              </c:pt>
              <c:pt idx="173">
                <c:v>8.65</c:v>
              </c:pt>
              <c:pt idx="174">
                <c:v>8.7</c:v>
              </c:pt>
              <c:pt idx="175">
                <c:v>8.75</c:v>
              </c:pt>
              <c:pt idx="176">
                <c:v>8.8</c:v>
              </c:pt>
              <c:pt idx="177">
                <c:v>8.85</c:v>
              </c:pt>
              <c:pt idx="178">
                <c:v>8.9</c:v>
              </c:pt>
              <c:pt idx="179">
                <c:v>8.95</c:v>
              </c:pt>
              <c:pt idx="180">
                <c:v>9</c:v>
              </c:pt>
              <c:pt idx="181">
                <c:v>9.05</c:v>
              </c:pt>
              <c:pt idx="182">
                <c:v>9.1</c:v>
              </c:pt>
              <c:pt idx="183">
                <c:v>9.15</c:v>
              </c:pt>
              <c:pt idx="184">
                <c:v>9.2</c:v>
              </c:pt>
              <c:pt idx="185">
                <c:v>9.25</c:v>
              </c:pt>
              <c:pt idx="186">
                <c:v>9.3</c:v>
              </c:pt>
              <c:pt idx="187">
                <c:v>9.35</c:v>
              </c:pt>
              <c:pt idx="188">
                <c:v>9.4</c:v>
              </c:pt>
              <c:pt idx="189">
                <c:v>9.45</c:v>
              </c:pt>
              <c:pt idx="190">
                <c:v>9.5</c:v>
              </c:pt>
              <c:pt idx="191">
                <c:v>9.55</c:v>
              </c:pt>
              <c:pt idx="192">
                <c:v>9.6</c:v>
              </c:pt>
              <c:pt idx="193">
                <c:v>9.65</c:v>
              </c:pt>
              <c:pt idx="194">
                <c:v>9.7</c:v>
              </c:pt>
              <c:pt idx="195">
                <c:v>9.75</c:v>
              </c:pt>
              <c:pt idx="196">
                <c:v>9.8</c:v>
              </c:pt>
              <c:pt idx="197">
                <c:v>9.85</c:v>
              </c:pt>
              <c:pt idx="198">
                <c:v>9.9</c:v>
              </c:pt>
              <c:pt idx="199">
                <c:v>9.95</c:v>
              </c:pt>
              <c:pt idx="200">
                <c:v>10</c:v>
              </c:pt>
            </c:numLit>
          </c:cat>
          <c:val>
            <c:numLit>
              <c:formatCode>General</c:formatCode>
              <c:ptCount val="201"/>
              <c:pt idx="0">
                <c:v>0.35</c:v>
              </c:pt>
              <c:pt idx="1">
                <c:v>0.4162234223650477</c:v>
              </c:pt>
              <c:pt idx="2">
                <c:v>0.4767534902184205</c:v>
              </c:pt>
              <c:pt idx="3">
                <c:v>0.531444202631732</c:v>
              </c:pt>
              <c:pt idx="4">
                <c:v>0.5802344485537856</c:v>
              </c:pt>
              <c:pt idx="5">
                <c:v>0.6231458776838272</c:v>
              </c:pt>
              <c:pt idx="6">
                <c:v>0.6602795192289987</c:v>
              </c:pt>
              <c:pt idx="7">
                <c:v>0.691811214163017</c:v>
              </c:pt>
              <c:pt idx="8">
                <c:v>0.7179859448975857</c:v>
              </c:pt>
              <c:pt idx="9">
                <c:v>0.7391111632097609</c:v>
              </c:pt>
              <c:pt idx="10">
                <c:v>0.7555492325743836</c:v>
              </c:pt>
              <c:pt idx="11">
                <c:v>0.7677091144932859</c:v>
              </c:pt>
              <c:pt idx="12">
                <c:v>0.7760374397841062</c:v>
              </c:pt>
              <c:pt idx="13">
                <c:v>0.7810091149155722</c:v>
              </c:pt>
              <c:pt idx="14">
                <c:v>0.7831176202126282</c:v>
              </c:pt>
              <c:pt idx="15">
                <c:v>0.7828651610009068</c:v>
              </c:pt>
              <c:pt idx="16">
                <c:v>0.7807528344518386</c:v>
              </c:pt>
              <c:pt idx="17">
                <c:v>0.7772709740033568</c:v>
              </c:pt>
              <c:pt idx="18">
                <c:v>0.772889829783177</c:v>
              </c:pt>
              <c:pt idx="19">
                <c:v>0.7680507375087203</c:v>
              </c:pt>
              <c:pt idx="20">
                <c:v>0.7631579199757662</c:v>
              </c:pt>
              <c:pt idx="21">
                <c:v>0.7585710546104801</c:v>
              </c:pt>
              <c:pt idx="22">
                <c:v>0.7545987278158156</c:v>
              </c:pt>
              <c:pt idx="23">
                <c:v>0.7514928821955889</c:v>
              </c:pt>
              <c:pt idx="24">
                <c:v>0.7494443464198104</c:v>
              </c:pt>
              <c:pt idx="25">
                <c:v>0.7485795197612414</c:v>
              </c:pt>
              <c:pt idx="26">
                <c:v>0.7489582644659273</c:v>
              </c:pt>
              <c:pt idx="27">
                <c:v>0.7505730394176268</c:v>
              </c:pt>
              <c:pt idx="28">
                <c:v>0.7533492883286778</c:v>
              </c:pt>
              <c:pt idx="29">
                <c:v>0.7571470752571963</c:v>
              </c:pt>
              <c:pt idx="30">
                <c:v>0.761763939935023</c:v>
              </c:pt>
              <c:pt idx="31">
                <c:v>0.7669389255131541</c:v>
              </c:pt>
              <c:pt idx="32">
                <c:v>0.7723577122052523</c:v>
              </c:pt>
              <c:pt idx="33">
                <c:v>0.777658772237192</c:v>
              </c:pt>
              <c:pt idx="34">
                <c:v>0.7824404447769198</c:v>
              </c:pt>
              <c:pt idx="35">
                <c:v>0.7862688143886918</c:v>
              </c:pt>
              <c:pt idx="36">
                <c:v>0.788686263268353</c:v>
              </c:pt>
              <c:pt idx="37">
                <c:v>0.7892205562822655</c:v>
              </c:pt>
              <c:pt idx="38">
                <c:v>0.7873943088300969</c:v>
              </c:pt>
              <c:pt idx="39">
                <c:v>0.7827346809243708</c:v>
              </c:pt>
              <c:pt idx="40">
                <c:v>0.7747831367335933</c:v>
              </c:pt>
              <c:pt idx="41">
                <c:v>0.763105107238214</c:v>
              </c:pt>
              <c:pt idx="42">
                <c:v>0.7472993946270634</c:v>
              </c:pt>
              <c:pt idx="43">
                <c:v>0.7270071606031352</c:v>
              </c:pt>
              <c:pt idx="44">
                <c:v>0.7019203468185273</c:v>
              </c:pt>
              <c:pt idx="45">
                <c:v>0.6717893841264451</c:v>
              </c:pt>
              <c:pt idx="46">
                <c:v>0.6364300580928766</c:v>
              </c:pt>
              <c:pt idx="47">
                <c:v>0.5957294110855915</c:v>
              </c:pt>
              <c:pt idx="48">
                <c:v>0.549650576053724</c:v>
              </c:pt>
              <c:pt idx="49">
                <c:v>0.4982364535975217</c:v>
              </c:pt>
              <c:pt idx="50">
                <c:v>0.4416121618484664</c:v>
              </c:pt>
              <c:pt idx="51">
                <c:v>0.3799862077556587</c:v>
              </c:pt>
              <c:pt idx="52">
                <c:v>0.3136503483079108</c:v>
              </c:pt>
              <c:pt idx="53">
                <c:v>0.24297813070128424</c:v>
              </c:pt>
              <c:pt idx="54">
                <c:v>0.1684221211692083</c:v>
              </c:pt>
              <c:pt idx="55">
                <c:v>0.09050985280325316</c:v>
              </c:pt>
              <c:pt idx="56">
                <c:v>0.009838542884814117</c:v>
              </c:pt>
              <c:pt idx="57">
                <c:v>-0.07293135029445383</c:v>
              </c:pt>
              <c:pt idx="58">
                <c:v>-0.15708364272743958</c:v>
              </c:pt>
              <c:pt idx="59">
                <c:v>-0.24185490661551998</c:v>
              </c:pt>
              <c:pt idx="60">
                <c:v>-0.3264437979417151</c:v>
              </c:pt>
              <c:pt idx="61">
                <c:v>-0.41002109505913775</c:v>
              </c:pt>
              <c:pt idx="62">
                <c:v>-0.4917403020615938</c:v>
              </c:pt>
              <c:pt idx="63">
                <c:v>-0.5707486613419058</c:v>
              </c:pt>
              <c:pt idx="64">
                <c:v>-0.6461984127685891</c:v>
              </c:pt>
              <c:pt idx="65">
                <c:v>-0.7172581324341721</c:v>
              </c:pt>
              <c:pt idx="66">
                <c:v>-0.783123982021358</c:v>
              </c:pt>
              <c:pt idx="67">
                <c:v>-0.8430307005288287</c:v>
              </c:pt>
              <c:pt idx="68">
                <c:v>-0.8962621733889593</c:v>
              </c:pt>
              <c:pt idx="69">
                <c:v>-0.9421614198467794</c:v>
              </c:pt>
              <c:pt idx="70">
                <c:v>-0.9801398477652488</c:v>
              </c:pt>
              <c:pt idx="71">
                <c:v>-1.0096856356502306</c:v>
              </c:pt>
              <c:pt idx="72">
                <c:v>-1.030371114486921</c:v>
              </c:pt>
              <c:pt idx="73">
                <c:v>-1.041859036751734</c:v>
              </c:pt>
              <c:pt idx="74">
                <c:v>-1.0439076364827258</c:v>
              </c:pt>
              <c:pt idx="75">
                <c:v>-1.0363744023033836</c:v>
              </c:pt>
              <c:pt idx="76">
                <c:v>-1.0192185045215416</c:v>
              </c:pt>
              <c:pt idx="77">
                <c:v>-0.9925018375709007</c:v>
              </c:pt>
              <c:pt idx="78">
                <c:v>-0.9563886598163764</c:v>
              </c:pt>
              <c:pt idx="79">
                <c:v>-0.9111438337860338</c:v>
              </c:pt>
              <c:pt idx="80">
                <c:v>-0.8571296908969115</c:v>
              </c:pt>
              <c:pt idx="81">
                <c:v>-0.7948015653853429</c:v>
              </c:pt>
              <c:pt idx="82">
                <c:v>-0.7247020621158092</c:v>
              </c:pt>
              <c:pt idx="83">
                <c:v>-0.6474541419177411</c:v>
              </c:pt>
              <c:pt idx="84">
                <c:v>-0.5637531257942532</c:v>
              </c:pt>
              <c:pt idx="85">
                <c:v>-0.47435773548762156</c:v>
              </c:pt>
              <c:pt idx="86">
                <c:v>-0.3800803022245842</c:v>
              </c:pt>
              <c:pt idx="87">
                <c:v>-0.2817762877795219</c:v>
              </c:pt>
              <c:pt idx="88">
                <c:v>-0.18033327209582567</c:v>
              </c:pt>
              <c:pt idx="89">
                <c:v>-0.07665956944037738</c:v>
              </c:pt>
              <c:pt idx="90">
                <c:v>0.028327359685255127</c:v>
              </c:pt>
              <c:pt idx="91">
                <c:v>0.13371253096999827</c:v>
              </c:pt>
              <c:pt idx="92">
                <c:v>0.23859492306995764</c:v>
              </c:pt>
              <c:pt idx="93">
                <c:v>0.3420986612781473</c:v>
              </c:pt>
              <c:pt idx="94">
                <c:v>0.44338373571863343</c:v>
              </c:pt>
              <c:pt idx="95">
                <c:v>0.5416560992686896</c:v>
              </c:pt>
              <c:pt idx="96">
                <c:v>0.6361770003476436</c:v>
              </c:pt>
              <c:pt idx="97">
                <c:v>0.726271417853104</c:v>
              </c:pt>
              <c:pt idx="98">
                <c:v>0.8113354796836879</c:v>
              </c:pt>
              <c:pt idx="99">
                <c:v>0.8908427622407077</c:v>
              </c:pt>
              <c:pt idx="100">
                <c:v>0.9643493858003188</c:v>
              </c:pt>
              <c:pt idx="101">
                <c:v>1.0314978394188745</c:v>
              </c:pt>
              <c:pt idx="102">
                <c:v>1.0920194887851697</c:v>
              </c:pt>
              <c:pt idx="103">
                <c:v>1.1457357408557267</c:v>
              </c:pt>
              <c:pt idx="104">
                <c:v>1.1925578598852598</c:v>
              </c:pt>
              <c:pt idx="105">
                <c:v>1.2324854502705602</c:v>
              </c:pt>
              <c:pt idx="106">
                <c:v>1.2656036421384966</c:v>
              </c:pt>
              <c:pt idx="107">
                <c:v>1.2920790355088654</c:v>
              </c:pt>
              <c:pt idx="108">
                <c:v>1.3121544778413243</c:v>
              </c:pt>
              <c:pt idx="109">
                <c:v>1.3261427675381234</c:v>
              </c:pt>
              <c:pt idx="110">
                <c:v>1.334419392245464</c:v>
              </c:pt>
              <c:pt idx="111">
                <c:v>1.3374144253242999</c:v>
              </c:pt>
              <c:pt idx="112">
                <c:v>1.3356037164217212</c:v>
              </c:pt>
              <c:pt idx="113">
                <c:v>1.3294995224732111</c:v>
              </c:pt>
              <c:pt idx="114">
                <c:v>1.3196407335443423</c:v>
              </c:pt>
              <c:pt idx="115">
                <c:v>1.3065828535546173</c:v>
              </c:pt>
              <c:pt idx="116">
                <c:v>1.2908878990310622</c:v>
              </c:pt>
              <c:pt idx="117">
                <c:v>1.2731143795695907</c:v>
              </c:pt>
              <c:pt idx="118">
                <c:v>1.253807521632778</c:v>
              </c:pt>
              <c:pt idx="119">
                <c:v>1.233489892718914</c:v>
              </c:pt>
              <c:pt idx="120">
                <c:v>1.2126525758740176</c:v>
              </c:pt>
              <c:pt idx="121">
                <c:v>1.191747035099558</c:v>
              </c:pt>
              <c:pt idx="122">
                <c:v>1.171177800584466</c:v>
              </c:pt>
              <c:pt idx="123">
                <c:v>1.151296089045545</c:v>
              </c:pt>
              <c:pt idx="124">
                <c:v>1.132394459012138</c:v>
              </c:pt>
              <c:pt idx="125">
                <c:v>1.1147025838835536</c:v>
              </c:pt>
              <c:pt idx="126">
                <c:v>1.0983842072903127</c:v>
              </c:pt>
              <c:pt idx="127">
                <c:v>1.0835353259918843</c:v>
              </c:pt>
              <c:pt idx="128">
                <c:v>1.0701836255489674</c:v>
              </c:pt>
              <c:pt idx="129">
                <c:v>1.0582891736331046</c:v>
              </c:pt>
              <c:pt idx="130">
                <c:v>1.0477463554018882</c:v>
              </c:pt>
              <c:pt idx="131">
                <c:v>1.038387015196617</c:v>
              </c:pt>
              <c:pt idx="132">
                <c:v>1.02998474922894</c:v>
              </c:pt>
              <c:pt idx="133">
                <c:v>1.0222602752229077</c:v>
              </c:pt>
              <c:pt idx="134">
                <c:v>1.0148877874636826</c:v>
              </c:pt>
              <c:pt idx="135">
                <c:v>1.007502189650379</c:v>
              </c:pt>
              <c:pt idx="136">
                <c:v>0.9997070836114741</c:v>
              </c:pt>
              <c:pt idx="137">
                <c:v>0.9910833795433175</c:v>
              </c:pt>
              <c:pt idx="138">
                <c:v>0.9811983831716251</c:v>
              </c:pt>
              <c:pt idx="139">
                <c:v>0.9696152072748419</c:v>
              </c:pt>
              <c:pt idx="140">
                <c:v>0.9559023494733629</c:v>
              </c:pt>
              <c:pt idx="141">
                <c:v>0.939643275168233</c:v>
              </c:pt>
              <c:pt idx="142">
                <c:v>0.9204458440559125</c:v>
              </c:pt>
              <c:pt idx="143">
                <c:v>0.8979514207608139</c:v>
              </c:pt>
              <c:pt idx="144">
                <c:v>0.8718435147829922</c:v>
              </c:pt>
              <c:pt idx="145">
                <c:v>0.8418558020829552</c:v>
              </c:pt>
              <c:pt idx="146">
                <c:v>0.8077793901089447</c:v>
              </c:pt>
              <c:pt idx="147">
                <c:v>0.7694691997669538</c:v>
              </c:pt>
              <c:pt idx="148">
                <c:v>0.7268493515579907</c:v>
              </c:pt>
              <c:pt idx="149">
                <c:v>0.679917458646975</c:v>
              </c:pt>
              <c:pt idx="150">
                <c:v>0.628747746740459</c:v>
              </c:pt>
              <c:pt idx="151">
                <c:v>0.5734929390690211</c:v>
              </c:pt>
              <c:pt idx="152">
                <c:v>0.5143848642065857</c:v>
              </c:pt>
              <c:pt idx="153">
                <c:v>0.4517337646092708</c:v>
              </c:pt>
              <c:pt idx="154">
                <c:v>0.3859263043051795</c:v>
              </c:pt>
              <c:pt idx="155">
                <c:v>0.3174222947919942</c:v>
              </c:pt>
              <c:pt idx="156">
                <c:v>0.24675017857822684</c:v>
              </c:pt>
              <c:pt idx="157">
                <c:v>0.17450132961666098</c:v>
              </c:pt>
              <c:pt idx="158">
                <c:v>0.10132324881424737</c:v>
              </c:pt>
              <c:pt idx="159">
                <c:v>0.02791175056368922</c:v>
              </c:pt>
              <c:pt idx="160">
                <c:v>-0.04499774745096652</c:v>
              </c:pt>
              <c:pt idx="161">
                <c:v>-0.1166397043261177</c:v>
              </c:pt>
              <c:pt idx="162">
                <c:v>-0.18622856638404117</c:v>
              </c:pt>
              <c:pt idx="163">
                <c:v>-0.2529693579743949</c:v>
              </c:pt>
              <c:pt idx="164">
                <c:v>-0.31606859440854795</c:v>
              </c:pt>
              <c:pt idx="165">
                <c:v>-0.37474535303724144</c:v>
              </c:pt>
              <c:pt idx="166">
                <c:v>-0.4282423352480448</c:v>
              </c:pt>
              <c:pt idx="167">
                <c:v>-0.4758367515112477</c:v>
              </c:pt>
              <c:pt idx="168">
                <c:v>-0.516850863554459</c:v>
              </c:pt>
              <c:pt idx="169">
                <c:v>-0.5506620222703222</c:v>
              </c:pt>
              <c:pt idx="170">
                <c:v>-0.5767120469912862</c:v>
              </c:pt>
              <c:pt idx="171">
                <c:v>-0.5945158011941271</c:v>
              </c:pt>
              <c:pt idx="172">
                <c:v>-0.6036688313813516</c:v>
              </c:pt>
              <c:pt idx="173">
                <c:v>-0.6038539496480394</c:v>
              </c:pt>
              <c:pt idx="174">
                <c:v>-0.5948466560699317</c:v>
              </c:pt>
              <c:pt idx="175">
                <c:v>-0.5765193143014214</c:v>
              </c:pt>
              <c:pt idx="176">
                <c:v>-0.5488440123849719</c:v>
              </c:pt>
              <c:pt idx="177">
                <c:v>-0.5118940604593671</c:v>
              </c:pt>
              <c:pt idx="178">
                <c:v>-0.46584409750955647</c:v>
              </c:pt>
              <c:pt idx="179">
                <c:v>-0.4109688002098315</c:v>
              </c:pt>
              <c:pt idx="180">
                <c:v>-0.3476402079517624</c:v>
              </c:pt>
              <c:pt idx="181">
                <c:v>-0.27632369899375686</c:v>
              </c:pt>
              <c:pt idx="182">
                <c:v>-0.19757267299802372</c:v>
              </c:pt>
              <c:pt idx="183">
                <c:v>-0.11202201471911966</c:v>
              </c:pt>
              <c:pt idx="184">
                <c:v>-0.020380431974584612</c:v>
              </c:pt>
              <c:pt idx="185">
                <c:v>0.07657822202131614</c:v>
              </c:pt>
              <c:pt idx="186">
                <c:v>0.17802451660681695</c:v>
              </c:pt>
              <c:pt idx="187">
                <c:v>0.28308376319187056</c:v>
              </c:pt>
              <c:pt idx="188">
                <c:v>0.39084693639494</c:v>
              </c:pt>
              <c:pt idx="189">
                <c:v>0.5003820378987482</c:v>
              </c:pt>
              <c:pt idx="190">
                <c:v>0.6107457376111862</c:v>
              </c:pt>
              <c:pt idx="191">
                <c:v>0.720995122733049</c:v>
              </c:pt>
              <c:pt idx="192">
                <c:v>0.8301993839416051</c:v>
              </c:pt>
              <c:pt idx="193">
                <c:v>0.9374512691183716</c:v>
              </c:pt>
              <c:pt idx="194">
                <c:v>1.0418781388608769</c:v>
              </c:pt>
              <c:pt idx="195">
                <c:v>1.1426524643616367</c:v>
              </c:pt>
              <c:pt idx="196">
                <c:v>1.2390016170130556</c:v>
              </c:pt>
              <c:pt idx="197">
                <c:v>1.330216810167832</c:v>
              </c:pt>
              <c:pt idx="198">
                <c:v>1.4156610666772629</c:v>
              </c:pt>
              <c:pt idx="199">
                <c:v>1.4947761009392933</c:v>
              </c:pt>
              <c:pt idx="200">
                <c:v>1.5670880209788567</c:v>
              </c:pt>
            </c:numLit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X</a:t>
                </a:r>
              </a:p>
            </c:rich>
          </c:tx>
        </c:title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y</a:t>
                </a:r>
              </a:p>
            </c:rich>
          </c:tx>
        </c:title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6</xdr:col>
      <xdr:colOff>0</xdr:colOff>
      <xdr:row>1</xdr:row>
      <xdr:rowOff>0</xdr:rowOff>
    </xdr:from>
    <xdr:ext cx="5905500" cy="31432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6fd35c1315445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5905500" cy="31432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9faab1d189452f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GPRDataTable" displayName="GPRDataTable" ref="A1:E41" headerRowCount="1" totalsRowCount="0" totalsRowShown="0">
  <x:tableColumns count="5">
    <x:tableColumn id="1" name="X"/>
    <x:tableColumn id="2" name="y_observed"/>
    <x:tableColumn id="3" name="y_true"/>
    <x:tableColumn id="4" name="noise"/>
    <x:tableColumn id="5" name="Us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edictionGridTable" displayName="PredictionGridTable" ref="A1:F202" headerRowCount="1" totalsRowCount="0" totalsRowShown="0">
  <x:tableColumns count="6">
    <x:tableColumn id="1" name="X"/>
    <x:tableColumn id="2" name="y_true"/>
    <x:tableColumn id="3" name="y_pred"/>
    <x:tableColumn id="4" name="std_pred"/>
    <x:tableColumn id="5" name="lower_95"/>
    <x:tableColumn id="6" name="upper_95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7f18c7740c34cfc" /><Relationship Type="http://schemas.openxmlformats.org/officeDocument/2006/relationships/table" Target="/xl/tables/table1.xml" Id="Rca5f6b6aff5249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20352cd22f364a48" /><Relationship Type="http://schemas.openxmlformats.org/officeDocument/2006/relationships/table" Target="/xl/tables/table2.xml" Id="R722d22c08acc4c81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0" customHeight="1">
      <x:c r="A1" s="5" t="str">
        <x:v>Gaussian Process Regression Simulation Dataset</x:v>
      </x:c>
      <x:c r="B1" s="5"/>
      <x:c r="C1" s="5"/>
      <x:c r="D1" s="5"/>
      <x:c r="E1" s="5"/>
      <x:c r="F1" s="5"/>
    </x:row>
    <x:row r="3">
      <x:c r="A3" s="20" t="str">
        <x:v>項目</x:v>
      </x:c>
      <x:c r="B3" s="20" t="str">
        <x:v>内容</x:v>
      </x:c>
    </x:row>
    <x:row r="4">
      <x:c r="A4" s="21" t="str">
        <x:v>目的</x:v>
      </x:c>
      <x:c r="B4" s="22" t="str">
        <x:v>GPRの非線形回帰・観測ノイズ・予測不確実性を確認するための学習用データ</x:v>
      </x:c>
    </x:row>
    <x:row r="5">
      <x:c r="A5" s="21" t="str">
        <x:v>真の関数</x:v>
      </x:c>
      <x:c r="B5" s="22" t="str">
        <x:v>f(x) = sin(1.3x) + 0.35 cos(2.5x) + 0.08x</x:v>
      </x:c>
    </x:row>
    <x:row r="6">
      <x:c r="A6" s="21" t="str">
        <x:v>観測ノイズ</x:v>
      </x:c>
      <x:c r="B6" s="22" t="str">
        <x:v>正規分布 N(0, 0.15²)</x:v>
      </x:c>
    </x:row>
    <x:row r="7">
      <x:c r="A7" s="21" t="str">
        <x:v>Xの範囲</x:v>
      </x:c>
      <x:c r="B7" s="22" t="str">
        <x:v>0 ～ 10</x:v>
      </x:c>
    </x:row>
    <x:row r="8">
      <x:c r="A8" s="21" t="str">
        <x:v>特徴</x:v>
      </x:c>
      <x:c r="B8" s="22" t="str">
        <x:v>x=4.4～5.8付近は学習点を意図的に少なくし、不確実性が広がる様子を観察しやすくしています</x:v>
      </x:c>
    </x:row>
    <x:row r="9">
      <x:c r="A9" s="21" t="str">
        <x:v>Train点数</x:v>
      </x:c>
      <x:c r="B9" s="22" t="str">
        <x:v>34</x:v>
      </x:c>
    </x:row>
    <x:row r="10">
      <x:c r="A10" s="21" t="str">
        <x:v>Validation点数</x:v>
      </x:c>
      <x:c r="B10" s="22" t="str">
        <x:v>6</x:v>
      </x:c>
    </x:row>
    <x:row r="12">
      <x:c r="A12" s="27" t="str">
        <x:v>Python（scikit-learn）での利用例</x:v>
      </x:c>
      <x:c r="B12" s="27"/>
      <x:c r="C12" s="27"/>
      <x:c r="D12" s="27"/>
      <x:c r="E12" s="27"/>
      <x:c r="F12" s="27"/>
    </x:row>
    <x:row r="13">
      <x:c r="A13" s="33" t="str">
        <x:v>import pandas as pd
from sklearn.gaussian_process import GaussianProcessRegressor
from sklearn.gaussian_process.kernels import RBF, ConstantKernel as C, WhiteKernel
df = pd.read_excel("gpr_simulation_dataset.xlsx", sheet_name="GPR_Data")
train = df[df["Usage"] == "Train"]
X = train[["X"]].to_numpy()
y = train["y_observed"].to_numpy()
kernel = C(1.0, (1e-3, 1e3)) * RBF(1.0, (1e-2, 1e2)) + WhiteKernel(0.02, (1e-5, 1.0))
gp = GaussianProcessRegressor(kernel=kernel, normalize_y=True, n_restarts_optimizer=10, random_state=42)
gp.fit(X, y)
grid = pd.read_excel("gpr_simulation_dataset.xlsx", sheet_name="Prediction_Grid")
X_pred = grid[["X"]].to_numpy()
y_pred, std_pred = gp.predict(X_pred, return_std=True)</x:v>
      </x:c>
      <x:c r="B13" s="33"/>
      <x:c r="C13" s="33"/>
      <x:c r="D13" s="33"/>
      <x:c r="E13" s="33"/>
      <x:c r="F13" s="33"/>
    </x:row>
    <x:row r="14">
      <x:c r="A14" s="33"/>
      <x:c r="B14" s="33"/>
      <x:c r="C14" s="33"/>
      <x:c r="D14" s="33"/>
      <x:c r="E14" s="33"/>
      <x:c r="F14" s="33"/>
    </x:row>
    <x:row r="15">
      <x:c r="A15" s="33"/>
      <x:c r="B15" s="33"/>
      <x:c r="C15" s="33"/>
      <x:c r="D15" s="33"/>
      <x:c r="E15" s="33"/>
      <x:c r="F15" s="33"/>
    </x:row>
    <x:row r="16">
      <x:c r="A16" s="33"/>
      <x:c r="B16" s="33"/>
      <x:c r="C16" s="33"/>
      <x:c r="D16" s="33"/>
      <x:c r="E16" s="33"/>
      <x:c r="F16" s="33"/>
    </x:row>
    <x:row r="17">
      <x:c r="A17" s="33"/>
      <x:c r="B17" s="33"/>
      <x:c r="C17" s="33"/>
      <x:c r="D17" s="33"/>
      <x:c r="E17" s="33"/>
      <x:c r="F17" s="33"/>
    </x:row>
    <x:row r="18">
      <x:c r="A18" s="33"/>
      <x:c r="B18" s="33"/>
      <x:c r="C18" s="33"/>
      <x:c r="D18" s="33"/>
      <x:c r="E18" s="33"/>
      <x:c r="F18" s="33"/>
    </x:row>
    <x:row r="19">
      <x:c r="A19" s="33"/>
      <x:c r="B19" s="33"/>
      <x:c r="C19" s="33"/>
      <x:c r="D19" s="33"/>
      <x:c r="E19" s="33"/>
      <x:c r="F19" s="33"/>
    </x:row>
    <x:row r="20">
      <x:c r="A20" s="33"/>
      <x:c r="B20" s="33"/>
      <x:c r="C20" s="33"/>
      <x:c r="D20" s="33"/>
      <x:c r="E20" s="33"/>
      <x:c r="F20" s="33"/>
    </x:row>
    <x:row r="21">
      <x:c r="A21" s="33"/>
      <x:c r="B21" s="33"/>
      <x:c r="C21" s="33"/>
      <x:c r="D21" s="33"/>
      <x:c r="E21" s="33"/>
      <x:c r="F21" s="33"/>
    </x:row>
    <x:row r="22">
      <x:c r="A22" s="33"/>
      <x:c r="B22" s="33"/>
      <x:c r="C22" s="33"/>
      <x:c r="D22" s="33"/>
      <x:c r="E22" s="33"/>
      <x:c r="F22" s="33"/>
    </x:row>
    <x:row r="23">
      <x:c r="A23" s="33"/>
      <x:c r="B23" s="33"/>
      <x:c r="C23" s="33"/>
      <x:c r="D23" s="33"/>
      <x:c r="E23" s="33"/>
      <x:c r="F23" s="33"/>
    </x:row>
    <x:row r="24">
      <x:c r="A24" s="33"/>
      <x:c r="B24" s="33"/>
      <x:c r="C24" s="33"/>
      <x:c r="D24" s="33"/>
      <x:c r="E24" s="33"/>
      <x:c r="F24" s="33"/>
    </x:row>
    <x:row r="25">
      <x:c r="A25" s="33"/>
      <x:c r="B25" s="33"/>
      <x:c r="C25" s="33"/>
      <x:c r="D25" s="33"/>
      <x:c r="E25" s="33"/>
      <x:c r="F25" s="33"/>
    </x:row>
    <x:row r="26">
      <x:c r="A26" s="33"/>
      <x:c r="B26" s="33"/>
      <x:c r="C26" s="33"/>
      <x:c r="D26" s="33"/>
      <x:c r="E26" s="33"/>
      <x:c r="F26" s="33"/>
    </x:row>
    <x:row r="27">
      <x:c r="A27" s="33"/>
      <x:c r="B27" s="33"/>
      <x:c r="C27" s="33"/>
      <x:c r="D27" s="33"/>
      <x:c r="E27" s="33"/>
      <x:c r="F27" s="33"/>
    </x:row>
    <x:row r="28">
      <x:c r="A28" s="33"/>
      <x:c r="B28" s="33"/>
      <x:c r="C28" s="33"/>
      <x:c r="D28" s="33"/>
      <x:c r="E28" s="33"/>
      <x:c r="F28" s="33"/>
    </x:row>
    <x:row r="29">
      <x:c r="A29" s="33"/>
      <x:c r="B29" s="33"/>
      <x:c r="C29" s="33"/>
      <x:c r="D29" s="33"/>
      <x:c r="E29" s="33"/>
      <x:c r="F29" s="33"/>
    </x:row>
    <x:row r="31">
      <x:c r="A31" s="38" t="str">
        <x:v>シート</x:v>
      </x:c>
      <x:c r="B31" s="38" t="str">
        <x:v>使い方</x:v>
      </x:c>
    </x:row>
    <x:row r="32">
      <x:c r="A32" s="21" t="str">
        <x:v>GPR_Data</x:v>
      </x:c>
      <x:c r="B32" s="22" t="str">
        <x:v>Usage=Train の行だけでモデルを学習します。Validation は予測精度の確認用です。</x:v>
      </x:c>
    </x:row>
    <x:row r="33">
      <x:c r="A33" s="21" t="str">
        <x:v>Prediction_Grid</x:v>
      </x:c>
      <x:c r="B33" s="22" t="str">
        <x:v>Xに対してGPR予測を行います。y_pred と std_pred を入力すると95%区間が自動計算されます。</x:v>
      </x:c>
    </x:row>
    <x:row r="34">
      <x:c r="A34" s="21" t="str">
        <x:v>y_true</x:v>
      </x:c>
      <x:c r="B34" s="22" t="str">
        <x:v>ノイズを加える前の真の関数値。モデル評価・可視化用です。</x:v>
      </x:c>
    </x:row>
    <x:row r="35">
      <x:c r="A35" s="21" t="str">
        <x:v>noise</x:v>
      </x:c>
      <x:c r="B35" s="22" t="str">
        <x:v>今回加えた観測ノイズ。実データでは通常は未知です。</x:v>
      </x:c>
    </x:row>
  </x:sheetData>
  <x:mergeCells>
    <x:mergeCell ref="A1:F1"/>
    <x:mergeCell ref="A12:F12"/>
    <x:mergeCell ref="A13:F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42" t="str">
        <x:v>X</x:v>
      </x:c>
      <x:c r="B1" s="42" t="str">
        <x:v>y_observed</x:v>
      </x:c>
      <x:c r="C1" s="42" t="str">
        <x:v>y_true</x:v>
      </x:c>
      <x:c r="D1" s="42" t="str">
        <x:v>noise</x:v>
      </x:c>
      <x:c r="E1" s="42" t="str">
        <x:v>Usage</x:v>
      </x:c>
    </x:row>
    <x:row r="2">
      <x:c r="A2" s="46" t="n">
        <x:v>0.545544861128128</x:v>
      </x:c>
      <x:c r="B2" s="46" t="n">
        <x:v>0.8591848470339053</x:v>
      </x:c>
      <x:c r="C2" s="46" t="n">
        <x:v>0.7667879336475809</x:v>
      </x:c>
      <x:c r="D2" s="46" t="n">
        <x:v>0.09239691338632434</x:v>
      </x:c>
      <x:c r="E2" s="48" t="str">
        <x:v>Train</x:v>
      </x:c>
    </x:row>
    <x:row r="3">
      <x:c r="A3" s="46" t="n">
        <x:v>0.6880772572372926</x:v>
      </x:c>
      <x:c r="B3" s="46" t="n">
        <x:v>0.9521939274821776</x:v>
      </x:c>
      <x:c r="C3" s="46" t="n">
        <x:v>0.7828480835740439</x:v>
      </x:c>
      <x:c r="D3" s="46" t="n">
        <x:v>0.16934584390813373</x:v>
      </x:c>
      <x:c r="E3" s="48" t="str">
        <x:v>Train</x:v>
      </x:c>
    </x:row>
    <x:row r="4">
      <x:c r="A4" s="46" t="n">
        <x:v>0.9</x:v>
      </x:c>
      <x:c r="B4" s="46" t="n">
        <x:v>0.90158621197175</x:v>
      </x:c>
      <x:c r="C4" s="46" t="n">
        <x:v>0.772889829783177</x:v>
      </x:c>
      <x:c r="D4" s="46" t="n">
        <x:v>0.12869638218857307</x:v>
      </x:c>
      <x:c r="E4" s="48" t="str">
        <x:v>Validation</x:v>
      </x:c>
    </x:row>
    <x:row r="5">
      <x:c r="A5" s="46" t="n">
        <x:v>1.1044026314960627</x:v>
      </x:c>
      <x:c r="B5" s="46" t="n">
        <x:v>0.7371951268925233</x:v>
      </x:c>
      <x:c r="C5" s="46" t="n">
        <x:v>0.7542872455407545</x:v>
      </x:c>
      <x:c r="D5" s="46" t="n">
        <x:v>-0.01709211864823126</x:v>
      </x:c>
      <x:c r="E5" s="48" t="str">
        <x:v>Train</x:v>
      </x:c>
    </x:row>
    <x:row r="6">
      <x:c r="A6" s="46" t="n">
        <x:v>1.707351701776841</x:v>
      </x:c>
      <x:c r="B6" s="46" t="n">
        <x:v>0.657050403930619</x:v>
      </x:c>
      <x:c r="C6" s="46" t="n">
        <x:v>0.7830738754749982</x:v>
      </x:c>
      <x:c r="D6" s="46" t="n">
        <x:v>-0.1260234715443792</x:v>
      </x:c>
      <x:c r="E6" s="48" t="str">
        <x:v>Train</x:v>
      </x:c>
    </x:row>
    <x:row r="7">
      <x:c r="A7" s="46" t="n">
        <x:v>1.9932894469586193</x:v>
      </x:c>
      <x:c r="B7" s="46" t="n">
        <x:v>0.6523854014153779</x:v>
      </x:c>
      <x:c r="C7" s="46" t="n">
        <x:v>0.7760575837690639</x:v>
      </x:c>
      <x:c r="D7" s="46" t="n">
        <x:v>-0.12367218235368593</x:v>
      </x:c>
      <x:c r="E7" s="48" t="str">
        <x:v>Train</x:v>
      </x:c>
    </x:row>
    <x:row r="8">
      <x:c r="A8" s="46" t="n">
        <x:v>2.0123396350747904</x:v>
      </x:c>
      <x:c r="B8" s="46" t="n">
        <x:v>0.8698524853969152</x:v>
      </x:c>
      <x:c r="C8" s="46" t="n">
        <x:v>0.77226356722321</x:v>
      </x:c>
      <x:c r="D8" s="46" t="n">
        <x:v>0.09758891817370516</x:v>
      </x:c>
      <x:c r="E8" s="48" t="str">
        <x:v>Train</x:v>
      </x:c>
    </x:row>
    <x:row r="9">
      <x:c r="A9" s="46" t="n">
        <x:v>2.0416209391613815</x:v>
      </x:c>
      <x:c r="B9" s="46" t="n">
        <x:v>0.8768277413094304</x:v>
      </x:c>
      <x:c r="C9" s="46" t="n">
        <x:v>0.7653396156289141</x:v>
      </x:c>
      <x:c r="D9" s="46" t="n">
        <x:v>0.11148812568051635</x:v>
      </x:c>
      <x:c r="E9" s="48" t="str">
        <x:v>Train</x:v>
      </x:c>
    </x:row>
    <x:row r="10">
      <x:c r="A10" s="46" t="n">
        <x:v>2.4792561054665057</x:v>
      </x:c>
      <x:c r="B10" s="46" t="n">
        <x:v>0.5471983883220477</x:v>
      </x:c>
      <x:c r="C10" s="46" t="n">
        <x:v>0.46572524807626847</x:v>
      </x:c>
      <x:c r="D10" s="46" t="n">
        <x:v>0.08147314024577924</x:v>
      </x:c>
      <x:c r="E10" s="48" t="str">
        <x:v>Train</x:v>
      </x:c>
    </x:row>
    <x:row r="11">
      <x:c r="A11" s="46" t="n">
        <x:v>2.8542335043387905</x:v>
      </x:c>
      <x:c r="B11" s="46" t="n">
        <x:v>-0.17983982367412404</x:v>
      </x:c>
      <x:c r="C11" s="46" t="n">
        <x:v>-0.0800133675808199</x:v>
      </x:c>
      <x:c r="D11" s="46" t="n">
        <x:v>-0.09982645609330414</x:v>
      </x:c>
      <x:c r="E11" s="48" t="str">
        <x:v>Train</x:v>
      </x:c>
    </x:row>
    <x:row r="12">
      <x:c r="A12" s="46" t="n">
        <x:v>3.078945722049328</x:v>
      </x:c>
      <x:c r="B12" s="46" t="n">
        <x:v>-0.422786493984322</x:v>
      </x:c>
      <x:c r="C12" s="46" t="n">
        <x:v>-0.45761069244432995</x:v>
      </x:c>
      <x:c r="D12" s="46" t="n">
        <x:v>0.03482419846000796</x:v>
      </x:c>
      <x:c r="E12" s="48" t="str">
        <x:v>Train</x:v>
      </x:c>
    </x:row>
    <x:row r="13">
      <x:c r="A13" s="46" t="n">
        <x:v>3.3467867483594818</x:v>
      </x:c>
      <x:c r="B13" s="46" t="n">
        <x:v>-0.8218712761514254</x:v>
      </x:c>
      <x:c r="C13" s="46" t="n">
        <x:v>-0.8393741475225347</x:v>
      </x:c>
      <x:c r="D13" s="46" t="n">
        <x:v>0.017502871371109233</x:v>
      </x:c>
      <x:c r="E13" s="48" t="str">
        <x:v>Train</x:v>
      </x:c>
    </x:row>
    <x:row r="14">
      <x:c r="A14" s="46" t="n">
        <x:v>3.4006154039350456</x:v>
      </x:c>
      <x:c r="B14" s="46" t="n">
        <x:v>-0.8640696634059652</x:v>
      </x:c>
      <x:c r="C14" s="46" t="n">
        <x:v>-0.8968729529153172</x:v>
      </x:c>
      <x:c r="D14" s="46" t="n">
        <x:v>0.03280328950935194</x:v>
      </x:c>
      <x:c r="E14" s="48" t="str">
        <x:v>Train</x:v>
      </x:c>
    </x:row>
    <x:row r="15">
      <x:c r="A15" s="46" t="n">
        <x:v>3.451470082163205</x:v>
      </x:c>
      <x:c r="B15" s="46" t="n">
        <x:v>-0.8126794490898184</x:v>
      </x:c>
      <x:c r="C15" s="46" t="n">
        <x:v>-0.9433937657820468</x:v>
      </x:c>
      <x:c r="D15" s="46" t="n">
        <x:v>0.13071431669222847</x:v>
      </x:c>
      <x:c r="E15" s="48" t="str">
        <x:v>Train</x:v>
      </x:c>
    </x:row>
    <x:row r="16">
      <x:c r="A16" s="46" t="n">
        <x:v>3.6</x:v>
      </x:c>
      <x:c r="B16" s="46" t="n">
        <x:v>-1.0590667632191633</x:v>
      </x:c>
      <x:c r="C16" s="46" t="n">
        <x:v>-1.030371114486921</x:v>
      </x:c>
      <x:c r="D16" s="46" t="n">
        <x:v>-0.028695648732242233</x:v>
      </x:c>
      <x:c r="E16" s="48" t="str">
        <x:v>Validation</x:v>
      </x:c>
    </x:row>
    <x:row r="17">
      <x:c r="A17" s="46" t="n">
        <x:v>3.605598775737485</x:v>
      </x:c>
      <x:c r="B17" s="46" t="n">
        <x:v>-0.998580739025297</x:v>
      </x:c>
      <x:c r="C17" s="46" t="n">
        <x:v>-1.0321200713414993</x:v>
      </x:c>
      <x:c r="D17" s="46" t="n">
        <x:v>0.03353933231620234</x:v>
      </x:c>
      <x:c r="E17" s="48" t="str">
        <x:v>Train</x:v>
      </x:c>
    </x:row>
    <x:row r="18">
      <x:c r="A18" s="46" t="n">
        <x:v>3.7561112636278056</x:v>
      </x:c>
      <x:c r="B18" s="46" t="n">
        <x:v>-0.9329564002532933</x:v>
      </x:c>
      <x:c r="C18" s="46" t="n">
        <x:v>-1.0347934347140775</x:v>
      </x:c>
      <x:c r="D18" s="46" t="n">
        <x:v>0.10183703446078422</x:v>
      </x:c>
      <x:c r="E18" s="48" t="str">
        <x:v>Train</x:v>
      </x:c>
    </x:row>
    <x:row r="19">
      <x:c r="A19" s="46" t="n">
        <x:v>4.042412953164127</x:v>
      </x:c>
      <x:c r="B19" s="46" t="n">
        <x:v>-0.7946369425813208</x:v>
      </x:c>
      <x:c r="C19" s="46" t="n">
        <x:v>-0.8047738030046545</x:v>
      </x:c>
      <x:c r="D19" s="46" t="n">
        <x:v>0.010136860423333718</x:v>
      </x:c>
      <x:c r="E19" s="48" t="str">
        <x:v>Train</x:v>
      </x:c>
    </x:row>
    <x:row r="20">
      <x:c r="A20" s="46" t="n">
        <x:v>4.247613876874374</x:v>
      </x:c>
      <x:c r="B20" s="46" t="n">
        <x:v>-0.4353735566413733</x:v>
      </x:c>
      <x:c r="C20" s="46" t="n">
        <x:v>-0.4787414664448709</x:v>
      </x:c>
      <x:c r="D20" s="46" t="n">
        <x:v>0.04336790980349762</x:v>
      </x:c>
      <x:c r="E20" s="48" t="str">
        <x:v>Train</x:v>
      </x:c>
      <x:c r="G20" s="53" t="str">
        <x:v>ポイント：x=4.4～5.8付近にはTrainデータがありません。この区間でGPRの標準偏差（std）が大きくなるか確認してください。</x:v>
      </x:c>
      <x:c r="H20" s="53"/>
      <x:c r="I20" s="53"/>
      <x:c r="J20" s="53"/>
      <x:c r="K20" s="53"/>
      <x:c r="L20" s="53"/>
    </x:row>
    <x:row r="21">
      <x:c r="A21" s="46" t="n">
        <x:v>4.7</x:v>
      </x:c>
      <x:c r="B21" s="46" t="n">
        <x:v>0.25203078721794514</x:v>
      </x:c>
      <x:c r="C21" s="46" t="n">
        <x:v>0.44338373571863343</x:v>
      </x:c>
      <x:c r="D21" s="46" t="n">
        <x:v>-0.19135294850068826</x:v>
      </x:c>
      <x:c r="E21" s="48" t="str">
        <x:v>Validation</x:v>
      </x:c>
      <x:c r="G21" s="53"/>
      <x:c r="H21" s="53"/>
      <x:c r="I21" s="53"/>
      <x:c r="J21" s="53"/>
      <x:c r="K21" s="53"/>
      <x:c r="L21" s="53"/>
    </x:row>
    <x:row r="22">
      <x:c r="A22" s="46" t="n">
        <x:v>5.2</x:v>
      </x:c>
      <x:c r="B22" s="46" t="n">
        <x:v>1.0225647777847378</x:v>
      </x:c>
      <x:c r="C22" s="46" t="n">
        <x:v>1.1925578598852598</x:v>
      </x:c>
      <x:c r="D22" s="46" t="n">
        <x:v>-0.16999308210052208</x:v>
      </x:c>
      <x:c r="E22" s="48" t="str">
        <x:v>Validation</x:v>
      </x:c>
      <x:c r="G22" s="53"/>
      <x:c r="H22" s="53"/>
      <x:c r="I22" s="53"/>
      <x:c r="J22" s="53"/>
      <x:c r="K22" s="53"/>
      <x:c r="L22" s="53"/>
    </x:row>
    <x:row r="23">
      <x:c r="A23" s="46" t="n">
        <x:v>5.6</x:v>
      </x:c>
      <x:c r="B23" s="46" t="n">
        <x:v>1.1976858735214795</x:v>
      </x:c>
      <x:c r="C23" s="46" t="n">
        <x:v>1.3356037164217212</x:v>
      </x:c>
      <x:c r="D23" s="46" t="n">
        <x:v>-0.1379178429002417</x:v>
      </x:c>
      <x:c r="E23" s="48" t="str">
        <x:v>Validation</x:v>
      </x:c>
    </x:row>
    <x:row r="24">
      <x:c r="A24" s="46" t="n">
        <x:v>6.025215063148915</x:v>
      </x:c>
      <x:c r="B24" s="46" t="n">
        <x:v>1.296785113102201</x:v>
      </x:c>
      <x:c r="C24" s="46" t="n">
        <x:v>1.20209187922642</x:v>
      </x:c>
      <x:c r="D24" s="46" t="n">
        <x:v>0.09469323387578106</x:v>
      </x:c>
      <x:c r="E24" s="48" t="str">
        <x:v>Train</x:v>
      </x:c>
    </x:row>
    <x:row r="25">
      <x:c r="A25" s="46" t="n">
        <x:v>6.105269024416701</x:v>
      </x:c>
      <x:c r="B25" s="46" t="n">
        <x:v>0.9504712944807517</x:v>
      </x:c>
      <x:c r="C25" s="46" t="n">
        <x:v>1.1690446674591017</x:v>
      </x:c>
      <x:c r="D25" s="46" t="n">
        <x:v>-0.21857337297834997</x:v>
      </x:c>
      <x:c r="E25" s="48" t="str">
        <x:v>Train</x:v>
      </x:c>
    </x:row>
    <x:row r="26">
      <x:c r="A26" s="46" t="n">
        <x:v>6.467157968270191</x:v>
      </x:c>
      <x:c r="B26" s="46" t="n">
        <x:v>1.006575509469255</x:v>
      </x:c>
      <x:c r="C26" s="46" t="n">
        <x:v>1.0545261919228501</x:v>
      </x:c>
      <x:c r="D26" s="46" t="n">
        <x:v>-0.0479506824535952</x:v>
      </x:c>
      <x:c r="E26" s="48" t="str">
        <x:v>Train</x:v>
      </x:c>
    </x:row>
    <x:row r="27">
      <x:c r="A27" s="46" t="n">
        <x:v>6.62855483140787</x:v>
      </x:c>
      <x:c r="B27" s="46" t="n">
        <x:v>0.9549543312057023</x:v>
      </x:c>
      <x:c r="C27" s="46" t="n">
        <x:v>1.0255102293496217</x:v>
      </x:c>
      <x:c r="D27" s="46" t="n">
        <x:v>-0.07055589814391933</x:v>
      </x:c>
      <x:c r="E27" s="48" t="str">
        <x:v>Train</x:v>
      </x:c>
    </x:row>
    <x:row r="28">
      <x:c r="A28" s="46" t="n">
        <x:v>7.153301432552608</x:v>
      </x:c>
      <x:c r="B28" s="46" t="n">
        <x:v>0.8005104939964303</x:v>
      </x:c>
      <x:c r="C28" s="46" t="n">
        <x:v>0.8963421712329316</x:v>
      </x:c>
      <x:c r="D28" s="46" t="n">
        <x:v>-0.09583167723650128</x:v>
      </x:c>
      <x:c r="E28" s="48" t="str">
        <x:v>Train</x:v>
      </x:c>
    </x:row>
    <x:row r="29">
      <x:c r="A29" s="46" t="n">
        <x:v>7.2681038725194735</x:v>
      </x:c>
      <x:c r="B29" s="46" t="n">
        <x:v>0.7887273991761682</x:v>
      </x:c>
      <x:c r="C29" s="46" t="n">
        <x:v>0.8299987368601708</x:v>
      </x:c>
      <x:c r="D29" s="46" t="n">
        <x:v>-0.04127133768400256</x:v>
      </x:c>
      <x:c r="E29" s="48" t="str">
        <x:v>Train</x:v>
      </x:c>
    </x:row>
    <x:row r="30">
      <x:c r="A30" s="46" t="n">
        <x:v>7.331838824139475</x:v>
      </x:c>
      <x:c r="B30" s="46" t="n">
        <x:v>1.008121507931033</x:v>
      </x:c>
      <x:c r="C30" s="46" t="n">
        <x:v>0.7838803112458737</x:v>
      </x:c>
      <x:c r="D30" s="46" t="n">
        <x:v>0.22424119668515938</x:v>
      </x:c>
      <x:c r="E30" s="48" t="str">
        <x:v>Train</x:v>
      </x:c>
    </x:row>
    <x:row r="31">
      <x:c r="A31" s="46" t="n">
        <x:v>7.716884014908136</x:v>
      </x:c>
      <x:c r="B31" s="46" t="n">
        <x:v>0.23319574972622584</x:v>
      </x:c>
      <x:c r="C31" s="46" t="n">
        <x:v>0.3630704170802123</x:v>
      </x:c>
      <x:c r="D31" s="46" t="n">
        <x:v>-0.12987466735398648</x:v>
      </x:c>
      <x:c r="E31" s="48" t="str">
        <x:v>Train</x:v>
      </x:c>
    </x:row>
    <x:row r="32">
      <x:c r="A32" s="46" t="n">
        <x:v>8.37665759648826</x:v>
      </x:c>
      <x:c r="B32" s="46" t="n">
        <x:v>-0.3533216733236225</x:v>
      </x:c>
      <x:c r="C32" s="46" t="n">
        <x:v>-0.49856342651234464</x:v>
      </x:c>
      <x:c r="D32" s="46" t="n">
        <x:v>0.14524175318872212</x:v>
      </x:c>
      <x:c r="E32" s="48" t="str">
        <x:v>Train</x:v>
      </x:c>
    </x:row>
    <x:row r="33">
      <x:c r="A33" s="46" t="n">
        <x:v>8.582195812969818</x:v>
      </x:c>
      <x:c r="B33" s="46" t="n">
        <x:v>-0.853853657261487</x:v>
      </x:c>
      <x:c r="C33" s="46" t="n">
        <x:v>-0.6014231915191163</x:v>
      </x:c>
      <x:c r="D33" s="46" t="n">
        <x:v>-0.2524304657423707</x:v>
      </x:c>
      <x:c r="E33" s="48" t="str">
        <x:v>Train</x:v>
      </x:c>
    </x:row>
    <x:row r="34">
      <x:c r="A34" s="46" t="n">
        <x:v>8.829048623631268</x:v>
      </x:c>
      <x:c r="B34" s="46" t="n">
        <x:v>-0.5787298832667248</x:v>
      </x:c>
      <x:c r="C34" s="46" t="n">
        <x:v>-0.5284971287688586</x:v>
      </x:c>
      <x:c r="D34" s="46" t="n">
        <x:v>-0.050232754497866225</x:v>
      </x:c>
      <x:c r="E34" s="48" t="str">
        <x:v>Train</x:v>
      </x:c>
    </x:row>
    <x:row r="35">
      <x:c r="A35" s="46" t="n">
        <x:v>8.882350960341494</x:v>
      </x:c>
      <x:c r="B35" s="46" t="n">
        <x:v>-0.4587099219806343</x:v>
      </x:c>
      <x:c r="C35" s="46" t="n">
        <x:v>-0.4831228817463852</x:v>
      </x:c>
      <x:c r="D35" s="46" t="n">
        <x:v>0.02441295976575084</x:v>
      </x:c>
      <x:c r="E35" s="48" t="str">
        <x:v>Train</x:v>
      </x:c>
    </x:row>
    <x:row r="36">
      <x:c r="A36" s="46" t="n">
        <x:v>8.9</x:v>
      </x:c>
      <x:c r="B36" s="46" t="n">
        <x:v>-0.39126998590149187</x:v>
      </x:c>
      <x:c r="C36" s="46" t="n">
        <x:v>-0.46584409750955647</x:v>
      </x:c>
      <x:c r="D36" s="46" t="n">
        <x:v>0.0745741116080646</x:v>
      </x:c>
      <x:c r="E36" s="48" t="str">
        <x:v>Validation</x:v>
      </x:c>
    </x:row>
    <x:row r="37">
      <x:c r="A37" s="46" t="n">
        <x:v>8.963533988295048</x:v>
      </x:c>
      <x:c r="B37" s="46" t="n">
        <x:v>-0.3067102655228297</x:v>
      </x:c>
      <x:c r="C37" s="46" t="n">
        <x:v>-0.3946436152267214</x:v>
      </x:c>
      <x:c r="D37" s="46" t="n">
        <x:v>0.08793334970389172</x:v>
      </x:c>
      <x:c r="E37" s="48" t="str">
        <x:v>Train</x:v>
      </x:c>
    </x:row>
    <x:row r="38">
      <x:c r="A38" s="46" t="n">
        <x:v>9.160524687970328</x:v>
      </x:c>
      <x:c r="B38" s="46" t="n">
        <x:v>0.013470869311659209</x:v>
      </x:c>
      <x:c r="C38" s="46" t="n">
        <x:v>-0.09321311765726903</x:v>
      </x:c>
      <x:c r="D38" s="46" t="n">
        <x:v>0.10668398696892824</x:v>
      </x:c>
      <x:c r="E38" s="48" t="str">
        <x:v>Train</x:v>
      </x:c>
    </x:row>
    <x:row r="39">
      <x:c r="A39" s="46" t="n">
        <x:v>9.422484485288791</x:v>
      </x:c>
      <x:c r="B39" s="46" t="n">
        <x:v>0.5589428551329411</x:v>
      </x:c>
      <x:c r="C39" s="46" t="n">
        <x:v>0.4399407698529523</x:v>
      </x:c>
      <x:c r="D39" s="46" t="n">
        <x:v>0.11900208527998878</x:v>
      </x:c>
      <x:c r="E39" s="48" t="str">
        <x:v>Train</x:v>
      </x:c>
    </x:row>
    <x:row r="40">
      <x:c r="A40" s="46" t="n">
        <x:v>9.72003892973684</x:v>
      </x:c>
      <x:c r="B40" s="46" t="n">
        <x:v>1.0304408095545536</x:v>
      </x:c>
      <x:c r="C40" s="46" t="n">
        <x:v>1.0827495703918193</x:v>
      </x:c>
      <x:c r="D40" s="46" t="n">
        <x:v>-0.052308760837265635</x:v>
      </x:c>
      <x:c r="E40" s="48" t="str">
        <x:v>Train</x:v>
      </x:c>
    </x:row>
    <x:row r="41">
      <x:c r="A41" s="46" t="n">
        <x:v>9.732792097579612</x:v>
      </x:c>
      <x:c r="B41" s="46" t="n">
        <x:v>1.039078994482567</x:v>
      </x:c>
      <x:c r="C41" s="46" t="n">
        <x:v>1.108431763382252</x:v>
      </x:c>
      <x:c r="D41" s="46" t="n">
        <x:v>-0.06935276889968507</x:v>
      </x:c>
      <x:c r="E41" s="48" t="str">
        <x:v>Train</x:v>
      </x:c>
    </x:row>
  </x:sheetData>
  <x:mergeCells>
    <x:mergeCell ref="G20:L22"/>
  </x:mergeCells>
  <x:conditionalFormatting sqref="E2:E41">
    <x:cfRule type="expression" dxfId="0" priority="1">
      <x:formula>E2="Validation"</x:formula>
    </x:cfRule>
    <x:cfRule type="expression" dxfId="1" priority="2">
      <x:formula>E2="Train"</x:formula>
    </x:cfRule>
  </x:conditionalFormatting>
  <x:pageMargins left="0.7" right="0.7" top="0.75" bottom="0.75" header="0.3" footer="0.3"/>
  <x:drawing xmlns:r="http://schemas.openxmlformats.org/officeDocument/2006/relationships" r:id="R17f18c7740c34cfc"/>
  <x:tableParts count="1">
    <x:tablePart xmlns:r="http://schemas.openxmlformats.org/officeDocument/2006/relationships" r:id="Rca5f6b6aff5249b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>
      <x:c r="A1" s="42" t="str">
        <x:v>X</x:v>
      </x:c>
      <x:c r="B1" s="42" t="str">
        <x:v>y_true</x:v>
      </x:c>
      <x:c r="C1" s="42" t="str">
        <x:v>y_pred</x:v>
      </x:c>
      <x:c r="D1" s="42" t="str">
        <x:v>std_pred</x:v>
      </x:c>
      <x:c r="E1" s="42" t="str">
        <x:v>lower_95</x:v>
      </x:c>
      <x:c r="F1" s="42" t="str">
        <x:v>upper_95</x:v>
      </x:c>
    </x:row>
    <x:row r="2">
      <x:c r="A2" s="46" t="n">
        <x:v>0</x:v>
      </x:c>
      <x:c r="B2" s="46" t="n">
        <x:v>0.35</x:v>
      </x:c>
      <x:c r="C2" s="58" t="str"/>
      <x:c r="D2" s="58" t="str"/>
      <x:c r="E2" s="60" t="str">
        <x:f>IF(OR(C2="",D2=""),"",C2-1.96*D2)</x:f>
      </x:c>
      <x:c r="F2" s="60" t="str">
        <x:f>IF(OR(C2="",D2=""),"",C2+1.96*D2)</x:f>
      </x:c>
    </x:row>
    <x:row r="3">
      <x:c r="A3" s="46" t="n">
        <x:v>0.05</x:v>
      </x:c>
      <x:c r="B3" s="46" t="n">
        <x:v>0.4162234223650477</x:v>
      </x:c>
      <x:c r="C3" s="58" t="str"/>
      <x:c r="D3" s="58" t="str"/>
      <x:c r="E3" s="60" t="str">
        <x:f>IF(OR(C3="",D3=""),"",C3-1.96*D3)</x:f>
      </x:c>
      <x:c r="F3" s="60" t="str">
        <x:f>IF(OR(C3="",D3=""),"",C3+1.96*D3)</x:f>
      </x:c>
    </x:row>
    <x:row r="4">
      <x:c r="A4" s="46" t="n">
        <x:v>0.1</x:v>
      </x:c>
      <x:c r="B4" s="46" t="n">
        <x:v>0.4767534902184205</x:v>
      </x:c>
      <x:c r="C4" s="58" t="str"/>
      <x:c r="D4" s="58" t="str"/>
      <x:c r="E4" s="60" t="str">
        <x:f>IF(OR(C4="",D4=""),"",C4-1.96*D4)</x:f>
      </x:c>
      <x:c r="F4" s="60" t="str">
        <x:f>IF(OR(C4="",D4=""),"",C4+1.96*D4)</x:f>
      </x:c>
    </x:row>
    <x:row r="5">
      <x:c r="A5" s="46" t="n">
        <x:v>0.15</x:v>
      </x:c>
      <x:c r="B5" s="46" t="n">
        <x:v>0.531444202631732</x:v>
      </x:c>
      <x:c r="C5" s="58" t="str"/>
      <x:c r="D5" s="58" t="str"/>
      <x:c r="E5" s="60" t="str">
        <x:f>IF(OR(C5="",D5=""),"",C5-1.96*D5)</x:f>
      </x:c>
      <x:c r="F5" s="60" t="str">
        <x:f>IF(OR(C5="",D5=""),"",C5+1.96*D5)</x:f>
      </x:c>
    </x:row>
    <x:row r="6">
      <x:c r="A6" s="46" t="n">
        <x:v>0.2</x:v>
      </x:c>
      <x:c r="B6" s="46" t="n">
        <x:v>0.5802344485537856</x:v>
      </x:c>
      <x:c r="C6" s="58" t="str"/>
      <x:c r="D6" s="58" t="str"/>
      <x:c r="E6" s="60" t="str">
        <x:f>IF(OR(C6="",D6=""),"",C6-1.96*D6)</x:f>
      </x:c>
      <x:c r="F6" s="60" t="str">
        <x:f>IF(OR(C6="",D6=""),"",C6+1.96*D6)</x:f>
      </x:c>
    </x:row>
    <x:row r="7">
      <x:c r="A7" s="46" t="n">
        <x:v>0.25</x:v>
      </x:c>
      <x:c r="B7" s="46" t="n">
        <x:v>0.6231458776838272</x:v>
      </x:c>
      <x:c r="C7" s="58" t="str"/>
      <x:c r="D7" s="58" t="str"/>
      <x:c r="E7" s="60" t="str">
        <x:f>IF(OR(C7="",D7=""),"",C7-1.96*D7)</x:f>
      </x:c>
      <x:c r="F7" s="60" t="str">
        <x:f>IF(OR(C7="",D7=""),"",C7+1.96*D7)</x:f>
      </x:c>
    </x:row>
    <x:row r="8">
      <x:c r="A8" s="46" t="n">
        <x:v>0.3</x:v>
      </x:c>
      <x:c r="B8" s="46" t="n">
        <x:v>0.6602795192289987</x:v>
      </x:c>
      <x:c r="C8" s="58" t="str"/>
      <x:c r="D8" s="58" t="str"/>
      <x:c r="E8" s="60" t="str">
        <x:f>IF(OR(C8="",D8=""),"",C8-1.96*D8)</x:f>
      </x:c>
      <x:c r="F8" s="60" t="str">
        <x:f>IF(OR(C8="",D8=""),"",C8+1.96*D8)</x:f>
      </x:c>
    </x:row>
    <x:row r="9">
      <x:c r="A9" s="46" t="n">
        <x:v>0.35</x:v>
      </x:c>
      <x:c r="B9" s="46" t="n">
        <x:v>0.691811214163017</x:v>
      </x:c>
      <x:c r="C9" s="58" t="str"/>
      <x:c r="D9" s="58" t="str"/>
      <x:c r="E9" s="60" t="str">
        <x:f>IF(OR(C9="",D9=""),"",C9-1.96*D9)</x:f>
      </x:c>
      <x:c r="F9" s="60" t="str">
        <x:f>IF(OR(C9="",D9=""),"",C9+1.96*D9)</x:f>
      </x:c>
    </x:row>
    <x:row r="10">
      <x:c r="A10" s="46" t="n">
        <x:v>0.4</x:v>
      </x:c>
      <x:c r="B10" s="46" t="n">
        <x:v>0.7179859448975857</x:v>
      </x:c>
      <x:c r="C10" s="58" t="str"/>
      <x:c r="D10" s="58" t="str"/>
      <x:c r="E10" s="60" t="str">
        <x:f>IF(OR(C10="",D10=""),"",C10-1.96*D10)</x:f>
      </x:c>
      <x:c r="F10" s="60" t="str">
        <x:f>IF(OR(C10="",D10=""),"",C10+1.96*D10)</x:f>
      </x:c>
    </x:row>
    <x:row r="11">
      <x:c r="A11" s="46" t="n">
        <x:v>0.45</x:v>
      </x:c>
      <x:c r="B11" s="46" t="n">
        <x:v>0.7391111632097609</x:v>
      </x:c>
      <x:c r="C11" s="58" t="str"/>
      <x:c r="D11" s="58" t="str"/>
      <x:c r="E11" s="60" t="str">
        <x:f>IF(OR(C11="",D11=""),"",C11-1.96*D11)</x:f>
      </x:c>
      <x:c r="F11" s="60" t="str">
        <x:f>IF(OR(C11="",D11=""),"",C11+1.96*D11)</x:f>
      </x:c>
    </x:row>
    <x:row r="12">
      <x:c r="A12" s="46" t="n">
        <x:v>0.5</x:v>
      </x:c>
      <x:c r="B12" s="46" t="n">
        <x:v>0.7555492325743836</x:v>
      </x:c>
      <x:c r="C12" s="58" t="str"/>
      <x:c r="D12" s="58" t="str"/>
      <x:c r="E12" s="60" t="str">
        <x:f>IF(OR(C12="",D12=""),"",C12-1.96*D12)</x:f>
      </x:c>
      <x:c r="F12" s="60" t="str">
        <x:f>IF(OR(C12="",D12=""),"",C12+1.96*D12)</x:f>
      </x:c>
    </x:row>
    <x:row r="13">
      <x:c r="A13" s="46" t="n">
        <x:v>0.55</x:v>
      </x:c>
      <x:c r="B13" s="46" t="n">
        <x:v>0.7677091144932859</x:v>
      </x:c>
      <x:c r="C13" s="58" t="str"/>
      <x:c r="D13" s="58" t="str"/>
      <x:c r="E13" s="60" t="str">
        <x:f>IF(OR(C13="",D13=""),"",C13-1.96*D13)</x:f>
      </x:c>
      <x:c r="F13" s="60" t="str">
        <x:f>IF(OR(C13="",D13=""),"",C13+1.96*D13)</x:f>
      </x:c>
    </x:row>
    <x:row r="14">
      <x:c r="A14" s="46" t="n">
        <x:v>0.6</x:v>
      </x:c>
      <x:c r="B14" s="46" t="n">
        <x:v>0.7760374397841062</x:v>
      </x:c>
      <x:c r="C14" s="58" t="str"/>
      <x:c r="D14" s="58" t="str"/>
      <x:c r="E14" s="60" t="str">
        <x:f>IF(OR(C14="",D14=""),"",C14-1.96*D14)</x:f>
      </x:c>
      <x:c r="F14" s="60" t="str">
        <x:f>IF(OR(C14="",D14=""),"",C14+1.96*D14)</x:f>
      </x:c>
    </x:row>
    <x:row r="15">
      <x:c r="A15" s="46" t="n">
        <x:v>0.65</x:v>
      </x:c>
      <x:c r="B15" s="46" t="n">
        <x:v>0.7810091149155722</x:v>
      </x:c>
      <x:c r="C15" s="58" t="str"/>
      <x:c r="D15" s="58" t="str"/>
      <x:c r="E15" s="60" t="str">
        <x:f>IF(OR(C15="",D15=""),"",C15-1.96*D15)</x:f>
      </x:c>
      <x:c r="F15" s="60" t="str">
        <x:f>IF(OR(C15="",D15=""),"",C15+1.96*D15)</x:f>
      </x:c>
    </x:row>
    <x:row r="16">
      <x:c r="A16" s="46" t="n">
        <x:v>0.7</x:v>
      </x:c>
      <x:c r="B16" s="46" t="n">
        <x:v>0.7831176202126282</x:v>
      </x:c>
      <x:c r="C16" s="58" t="str"/>
      <x:c r="D16" s="58" t="str"/>
      <x:c r="E16" s="60" t="str">
        <x:f>IF(OR(C16="",D16=""),"",C16-1.96*D16)</x:f>
      </x:c>
      <x:c r="F16" s="60" t="str">
        <x:f>IF(OR(C16="",D16=""),"",C16+1.96*D16)</x:f>
      </x:c>
    </x:row>
    <x:row r="17">
      <x:c r="A17" s="46" t="n">
        <x:v>0.75</x:v>
      </x:c>
      <x:c r="B17" s="46" t="n">
        <x:v>0.7828651610009068</x:v>
      </x:c>
      <x:c r="C17" s="58" t="str"/>
      <x:c r="D17" s="58" t="str"/>
      <x:c r="E17" s="60" t="str">
        <x:f>IF(OR(C17="",D17=""),"",C17-1.96*D17)</x:f>
      </x:c>
      <x:c r="F17" s="60" t="str">
        <x:f>IF(OR(C17="",D17=""),"",C17+1.96*D17)</x:f>
      </x:c>
    </x:row>
    <x:row r="18">
      <x:c r="A18" s="46" t="n">
        <x:v>0.8</x:v>
      </x:c>
      <x:c r="B18" s="46" t="n">
        <x:v>0.7807528344518386</x:v>
      </x:c>
      <x:c r="C18" s="58" t="str"/>
      <x:c r="D18" s="58" t="str"/>
      <x:c r="E18" s="60" t="str">
        <x:f>IF(OR(C18="",D18=""),"",C18-1.96*D18)</x:f>
      </x:c>
      <x:c r="F18" s="60" t="str">
        <x:f>IF(OR(C18="",D18=""),"",C18+1.96*D18)</x:f>
      </x:c>
    </x:row>
    <x:row r="19">
      <x:c r="A19" s="46" t="n">
        <x:v>0.85</x:v>
      </x:c>
      <x:c r="B19" s="46" t="n">
        <x:v>0.7772709740033568</x:v>
      </x:c>
      <x:c r="C19" s="58" t="str"/>
      <x:c r="D19" s="58" t="str"/>
      <x:c r="E19" s="60" t="str">
        <x:f>IF(OR(C19="",D19=""),"",C19-1.96*D19)</x:f>
      </x:c>
      <x:c r="F19" s="60" t="str">
        <x:f>IF(OR(C19="",D19=""),"",C19+1.96*D19)</x:f>
      </x:c>
    </x:row>
    <x:row r="20">
      <x:c r="A20" s="46" t="n">
        <x:v>0.9</x:v>
      </x:c>
      <x:c r="B20" s="46" t="n">
        <x:v>0.772889829783177</x:v>
      </x:c>
      <x:c r="C20" s="58" t="str"/>
      <x:c r="D20" s="58" t="str"/>
      <x:c r="E20" s="60" t="str">
        <x:f>IF(OR(C20="",D20=""),"",C20-1.96*D20)</x:f>
      </x:c>
      <x:c r="F20" s="60" t="str">
        <x:f>IF(OR(C20="",D20=""),"",C20+1.96*D20)</x:f>
      </x:c>
      <x:c r="H20" s="65" t="str">
        <x:v>C列(y_pred)とD列(std_pred)にPythonの予測結果を入れると、E・F列の95%予測区間（±1.96σ）が自動計算されます。</x:v>
      </x:c>
      <x:c r="I20" s="65"/>
      <x:c r="J20" s="65"/>
      <x:c r="K20" s="65"/>
      <x:c r="L20" s="65"/>
      <x:c r="M20" s="65"/>
    </x:row>
    <x:row r="21">
      <x:c r="A21" s="46" t="n">
        <x:v>0.95</x:v>
      </x:c>
      <x:c r="B21" s="46" t="n">
        <x:v>0.7680507375087203</x:v>
      </x:c>
      <x:c r="C21" s="58" t="str"/>
      <x:c r="D21" s="58" t="str"/>
      <x:c r="E21" s="60" t="str">
        <x:f>IF(OR(C21="",D21=""),"",C21-1.96*D21)</x:f>
      </x:c>
      <x:c r="F21" s="60" t="str">
        <x:f>IF(OR(C21="",D21=""),"",C21+1.96*D21)</x:f>
      </x:c>
      <x:c r="H21" s="65"/>
      <x:c r="I21" s="65"/>
      <x:c r="J21" s="65"/>
      <x:c r="K21" s="65"/>
      <x:c r="L21" s="65"/>
      <x:c r="M21" s="65"/>
    </x:row>
    <x:row r="22">
      <x:c r="A22" s="46" t="n">
        <x:v>1</x:v>
      </x:c>
      <x:c r="B22" s="46" t="n">
        <x:v>0.7631579199757662</x:v>
      </x:c>
      <x:c r="C22" s="58" t="str"/>
      <x:c r="D22" s="58" t="str"/>
      <x:c r="E22" s="60" t="str">
        <x:f>IF(OR(C22="",D22=""),"",C22-1.96*D22)</x:f>
      </x:c>
      <x:c r="F22" s="60" t="str">
        <x:f>IF(OR(C22="",D22=""),"",C22+1.96*D22)</x:f>
      </x:c>
      <x:c r="H22" s="65"/>
      <x:c r="I22" s="65"/>
      <x:c r="J22" s="65"/>
      <x:c r="K22" s="65"/>
      <x:c r="L22" s="65"/>
      <x:c r="M22" s="65"/>
    </x:row>
    <x:row r="23">
      <x:c r="A23" s="46" t="n">
        <x:v>1.05</x:v>
      </x:c>
      <x:c r="B23" s="46" t="n">
        <x:v>0.7585710546104801</x:v>
      </x:c>
      <x:c r="C23" s="58" t="str"/>
      <x:c r="D23" s="58" t="str"/>
      <x:c r="E23" s="60" t="str">
        <x:f>IF(OR(C23="",D23=""),"",C23-1.96*D23)</x:f>
      </x:c>
      <x:c r="F23" s="60" t="str">
        <x:f>IF(OR(C23="",D23=""),"",C23+1.96*D23)</x:f>
      </x:c>
    </x:row>
    <x:row r="24">
      <x:c r="A24" s="46" t="n">
        <x:v>1.1</x:v>
      </x:c>
      <x:c r="B24" s="46" t="n">
        <x:v>0.7545987278158156</x:v>
      </x:c>
      <x:c r="C24" s="58" t="str"/>
      <x:c r="D24" s="58" t="str"/>
      <x:c r="E24" s="60" t="str">
        <x:f>IF(OR(C24="",D24=""),"",C24-1.96*D24)</x:f>
      </x:c>
      <x:c r="F24" s="60" t="str">
        <x:f>IF(OR(C24="",D24=""),"",C24+1.96*D24)</x:f>
      </x:c>
    </x:row>
    <x:row r="25">
      <x:c r="A25" s="46" t="n">
        <x:v>1.15</x:v>
      </x:c>
      <x:c r="B25" s="46" t="n">
        <x:v>0.7514928821955889</x:v>
      </x:c>
      <x:c r="C25" s="58" t="str"/>
      <x:c r="D25" s="58" t="str"/>
      <x:c r="E25" s="60" t="str">
        <x:f>IF(OR(C25="",D25=""),"",C25-1.96*D25)</x:f>
      </x:c>
      <x:c r="F25" s="60" t="str">
        <x:f>IF(OR(C25="",D25=""),"",C25+1.96*D25)</x:f>
      </x:c>
    </x:row>
    <x:row r="26">
      <x:c r="A26" s="46" t="n">
        <x:v>1.2</x:v>
      </x:c>
      <x:c r="B26" s="46" t="n">
        <x:v>0.7494443464198104</x:v>
      </x:c>
      <x:c r="C26" s="58" t="str"/>
      <x:c r="D26" s="58" t="str"/>
      <x:c r="E26" s="60" t="str">
        <x:f>IF(OR(C26="",D26=""),"",C26-1.96*D26)</x:f>
      </x:c>
      <x:c r="F26" s="60" t="str">
        <x:f>IF(OR(C26="",D26=""),"",C26+1.96*D26)</x:f>
      </x:c>
    </x:row>
    <x:row r="27">
      <x:c r="A27" s="46" t="n">
        <x:v>1.25</x:v>
      </x:c>
      <x:c r="B27" s="46" t="n">
        <x:v>0.7485795197612414</x:v>
      </x:c>
      <x:c r="C27" s="58" t="str"/>
      <x:c r="D27" s="58" t="str"/>
      <x:c r="E27" s="60" t="str">
        <x:f>IF(OR(C27="",D27=""),"",C27-1.96*D27)</x:f>
      </x:c>
      <x:c r="F27" s="60" t="str">
        <x:f>IF(OR(C27="",D27=""),"",C27+1.96*D27)</x:f>
      </x:c>
    </x:row>
    <x:row r="28">
      <x:c r="A28" s="46" t="n">
        <x:v>1.3</x:v>
      </x:c>
      <x:c r="B28" s="46" t="n">
        <x:v>0.7489582644659273</x:v>
      </x:c>
      <x:c r="C28" s="58" t="str"/>
      <x:c r="D28" s="58" t="str"/>
      <x:c r="E28" s="60" t="str">
        <x:f>IF(OR(C28="",D28=""),"",C28-1.96*D28)</x:f>
      </x:c>
      <x:c r="F28" s="60" t="str">
        <x:f>IF(OR(C28="",D28=""),"",C28+1.96*D28)</x:f>
      </x:c>
    </x:row>
    <x:row r="29">
      <x:c r="A29" s="46" t="n">
        <x:v>1.35</x:v>
      </x:c>
      <x:c r="B29" s="46" t="n">
        <x:v>0.7505730394176268</x:v>
      </x:c>
      <x:c r="C29" s="58" t="str"/>
      <x:c r="D29" s="58" t="str"/>
      <x:c r="E29" s="60" t="str">
        <x:f>IF(OR(C29="",D29=""),"",C29-1.96*D29)</x:f>
      </x:c>
      <x:c r="F29" s="60" t="str">
        <x:f>IF(OR(C29="",D29=""),"",C29+1.96*D29)</x:f>
      </x:c>
    </x:row>
    <x:row r="30">
      <x:c r="A30" s="46" t="n">
        <x:v>1.4</x:v>
      </x:c>
      <x:c r="B30" s="46" t="n">
        <x:v>0.7533492883286778</x:v>
      </x:c>
      <x:c r="C30" s="58" t="str"/>
      <x:c r="D30" s="58" t="str"/>
      <x:c r="E30" s="60" t="str">
        <x:f>IF(OR(C30="",D30=""),"",C30-1.96*D30)</x:f>
      </x:c>
      <x:c r="F30" s="60" t="str">
        <x:f>IF(OR(C30="",D30=""),"",C30+1.96*D30)</x:f>
      </x:c>
    </x:row>
    <x:row r="31">
      <x:c r="A31" s="46" t="n">
        <x:v>1.45</x:v>
      </x:c>
      <x:c r="B31" s="46" t="n">
        <x:v>0.7571470752571963</x:v>
      </x:c>
      <x:c r="C31" s="58" t="str"/>
      <x:c r="D31" s="58" t="str"/>
      <x:c r="E31" s="60" t="str">
        <x:f>IF(OR(C31="",D31=""),"",C31-1.96*D31)</x:f>
      </x:c>
      <x:c r="F31" s="60" t="str">
        <x:f>IF(OR(C31="",D31=""),"",C31+1.96*D31)</x:f>
      </x:c>
    </x:row>
    <x:row r="32">
      <x:c r="A32" s="46" t="n">
        <x:v>1.5</x:v>
      </x:c>
      <x:c r="B32" s="46" t="n">
        <x:v>0.761763939935023</x:v>
      </x:c>
      <x:c r="C32" s="58" t="str"/>
      <x:c r="D32" s="58" t="str"/>
      <x:c r="E32" s="60" t="str">
        <x:f>IF(OR(C32="",D32=""),"",C32-1.96*D32)</x:f>
      </x:c>
      <x:c r="F32" s="60" t="str">
        <x:f>IF(OR(C32="",D32=""),"",C32+1.96*D32)</x:f>
      </x:c>
    </x:row>
    <x:row r="33">
      <x:c r="A33" s="46" t="n">
        <x:v>1.55</x:v>
      </x:c>
      <x:c r="B33" s="46" t="n">
        <x:v>0.7669389255131541</x:v>
      </x:c>
      <x:c r="C33" s="58" t="str"/>
      <x:c r="D33" s="58" t="str"/>
      <x:c r="E33" s="60" t="str">
        <x:f>IF(OR(C33="",D33=""),"",C33-1.96*D33)</x:f>
      </x:c>
      <x:c r="F33" s="60" t="str">
        <x:f>IF(OR(C33="",D33=""),"",C33+1.96*D33)</x:f>
      </x:c>
    </x:row>
    <x:row r="34">
      <x:c r="A34" s="46" t="n">
        <x:v>1.6</x:v>
      </x:c>
      <x:c r="B34" s="46" t="n">
        <x:v>0.7723577122052523</x:v>
      </x:c>
      <x:c r="C34" s="58" t="str"/>
      <x:c r="D34" s="58" t="str"/>
      <x:c r="E34" s="60" t="str">
        <x:f>IF(OR(C34="",D34=""),"",C34-1.96*D34)</x:f>
      </x:c>
      <x:c r="F34" s="60" t="str">
        <x:f>IF(OR(C34="",D34=""),"",C34+1.96*D34)</x:f>
      </x:c>
    </x:row>
    <x:row r="35">
      <x:c r="A35" s="46" t="n">
        <x:v>1.65</x:v>
      </x:c>
      <x:c r="B35" s="46" t="n">
        <x:v>0.777658772237192</x:v>
      </x:c>
      <x:c r="C35" s="58" t="str"/>
      <x:c r="D35" s="58" t="str"/>
      <x:c r="E35" s="60" t="str">
        <x:f>IF(OR(C35="",D35=""),"",C35-1.96*D35)</x:f>
      </x:c>
      <x:c r="F35" s="60" t="str">
        <x:f>IF(OR(C35="",D35=""),"",C35+1.96*D35)</x:f>
      </x:c>
    </x:row>
    <x:row r="36">
      <x:c r="A36" s="46" t="n">
        <x:v>1.7</x:v>
      </x:c>
      <x:c r="B36" s="46" t="n">
        <x:v>0.7824404447769198</x:v>
      </x:c>
      <x:c r="C36" s="58" t="str"/>
      <x:c r="D36" s="58" t="str"/>
      <x:c r="E36" s="60" t="str">
        <x:f>IF(OR(C36="",D36=""),"",C36-1.96*D36)</x:f>
      </x:c>
      <x:c r="F36" s="60" t="str">
        <x:f>IF(OR(C36="",D36=""),"",C36+1.96*D36)</x:f>
      </x:c>
    </x:row>
    <x:row r="37">
      <x:c r="A37" s="46" t="n">
        <x:v>1.75</x:v>
      </x:c>
      <x:c r="B37" s="46" t="n">
        <x:v>0.7862688143886918</x:v>
      </x:c>
      <x:c r="C37" s="58" t="str"/>
      <x:c r="D37" s="58" t="str"/>
      <x:c r="E37" s="60" t="str">
        <x:f>IF(OR(C37="",D37=""),"",C37-1.96*D37)</x:f>
      </x:c>
      <x:c r="F37" s="60" t="str">
        <x:f>IF(OR(C37="",D37=""),"",C37+1.96*D37)</x:f>
      </x:c>
    </x:row>
    <x:row r="38">
      <x:c r="A38" s="46" t="n">
        <x:v>1.8</x:v>
      </x:c>
      <x:c r="B38" s="46" t="n">
        <x:v>0.788686263268353</x:v>
      </x:c>
      <x:c r="C38" s="58" t="str"/>
      <x:c r="D38" s="58" t="str"/>
      <x:c r="E38" s="60" t="str">
        <x:f>IF(OR(C38="",D38=""),"",C38-1.96*D38)</x:f>
      </x:c>
      <x:c r="F38" s="60" t="str">
        <x:f>IF(OR(C38="",D38=""),"",C38+1.96*D38)</x:f>
      </x:c>
    </x:row>
    <x:row r="39">
      <x:c r="A39" s="46" t="n">
        <x:v>1.85</x:v>
      </x:c>
      <x:c r="B39" s="46" t="n">
        <x:v>0.7892205562822655</x:v>
      </x:c>
      <x:c r="C39" s="58" t="str"/>
      <x:c r="D39" s="58" t="str"/>
      <x:c r="E39" s="60" t="str">
        <x:f>IF(OR(C39="",D39=""),"",C39-1.96*D39)</x:f>
      </x:c>
      <x:c r="F39" s="60" t="str">
        <x:f>IF(OR(C39="",D39=""),"",C39+1.96*D39)</x:f>
      </x:c>
    </x:row>
    <x:row r="40">
      <x:c r="A40" s="46" t="n">
        <x:v>1.9</x:v>
      </x:c>
      <x:c r="B40" s="46" t="n">
        <x:v>0.7873943088300969</x:v>
      </x:c>
      <x:c r="C40" s="58" t="str"/>
      <x:c r="D40" s="58" t="str"/>
      <x:c r="E40" s="60" t="str">
        <x:f>IF(OR(C40="",D40=""),"",C40-1.96*D40)</x:f>
      </x:c>
      <x:c r="F40" s="60" t="str">
        <x:f>IF(OR(C40="",D40=""),"",C40+1.96*D40)</x:f>
      </x:c>
    </x:row>
    <x:row r="41">
      <x:c r="A41" s="46" t="n">
        <x:v>1.95</x:v>
      </x:c>
      <x:c r="B41" s="46" t="n">
        <x:v>0.7827346809243708</x:v>
      </x:c>
      <x:c r="C41" s="58" t="str"/>
      <x:c r="D41" s="58" t="str"/>
      <x:c r="E41" s="60" t="str">
        <x:f>IF(OR(C41="",D41=""),"",C41-1.96*D41)</x:f>
      </x:c>
      <x:c r="F41" s="60" t="str">
        <x:f>IF(OR(C41="",D41=""),"",C41+1.96*D41)</x:f>
      </x:c>
    </x:row>
    <x:row r="42">
      <x:c r="A42" s="46" t="n">
        <x:v>2</x:v>
      </x:c>
      <x:c r="B42" s="46" t="n">
        <x:v>0.7747831367335933</x:v>
      </x:c>
      <x:c r="C42" s="58" t="str"/>
      <x:c r="D42" s="58" t="str"/>
      <x:c r="E42" s="60" t="str">
        <x:f>IF(OR(C42="",D42=""),"",C42-1.96*D42)</x:f>
      </x:c>
      <x:c r="F42" s="60" t="str">
        <x:f>IF(OR(C42="",D42=""),"",C42+1.96*D42)</x:f>
      </x:c>
    </x:row>
    <x:row r="43">
      <x:c r="A43" s="46" t="n">
        <x:v>2.05</x:v>
      </x:c>
      <x:c r="B43" s="46" t="n">
        <x:v>0.763105107238214</x:v>
      </x:c>
      <x:c r="C43" s="58" t="str"/>
      <x:c r="D43" s="58" t="str"/>
      <x:c r="E43" s="60" t="str">
        <x:f>IF(OR(C43="",D43=""),"",C43-1.96*D43)</x:f>
      </x:c>
      <x:c r="F43" s="60" t="str">
        <x:f>IF(OR(C43="",D43=""),"",C43+1.96*D43)</x:f>
      </x:c>
    </x:row>
    <x:row r="44">
      <x:c r="A44" s="46" t="n">
        <x:v>2.1</x:v>
      </x:c>
      <x:c r="B44" s="46" t="n">
        <x:v>0.7472993946270634</x:v>
      </x:c>
      <x:c r="C44" s="58" t="str"/>
      <x:c r="D44" s="58" t="str"/>
      <x:c r="E44" s="60" t="str">
        <x:f>IF(OR(C44="",D44=""),"",C44-1.96*D44)</x:f>
      </x:c>
      <x:c r="F44" s="60" t="str">
        <x:f>IF(OR(C44="",D44=""),"",C44+1.96*D44)</x:f>
      </x:c>
    </x:row>
    <x:row r="45">
      <x:c r="A45" s="46" t="n">
        <x:v>2.15</x:v>
      </x:c>
      <x:c r="B45" s="46" t="n">
        <x:v>0.7270071606031352</x:v>
      </x:c>
      <x:c r="C45" s="58" t="str"/>
      <x:c r="D45" s="58" t="str"/>
      <x:c r="E45" s="60" t="str">
        <x:f>IF(OR(C45="",D45=""),"",C45-1.96*D45)</x:f>
      </x:c>
      <x:c r="F45" s="60" t="str">
        <x:f>IF(OR(C45="",D45=""),"",C45+1.96*D45)</x:f>
      </x:c>
    </x:row>
    <x:row r="46">
      <x:c r="A46" s="46" t="n">
        <x:v>2.2</x:v>
      </x:c>
      <x:c r="B46" s="46" t="n">
        <x:v>0.7019203468185273</x:v>
      </x:c>
      <x:c r="C46" s="58" t="str"/>
      <x:c r="D46" s="58" t="str"/>
      <x:c r="E46" s="60" t="str">
        <x:f>IF(OR(C46="",D46=""),"",C46-1.96*D46)</x:f>
      </x:c>
      <x:c r="F46" s="60" t="str">
        <x:f>IF(OR(C46="",D46=""),"",C46+1.96*D46)</x:f>
      </x:c>
    </x:row>
    <x:row r="47">
      <x:c r="A47" s="46" t="n">
        <x:v>2.25</x:v>
      </x:c>
      <x:c r="B47" s="46" t="n">
        <x:v>0.6717893841264451</x:v>
      </x:c>
      <x:c r="C47" s="58" t="str"/>
      <x:c r="D47" s="58" t="str"/>
      <x:c r="E47" s="60" t="str">
        <x:f>IF(OR(C47="",D47=""),"",C47-1.96*D47)</x:f>
      </x:c>
      <x:c r="F47" s="60" t="str">
        <x:f>IF(OR(C47="",D47=""),"",C47+1.96*D47)</x:f>
      </x:c>
    </x:row>
    <x:row r="48">
      <x:c r="A48" s="46" t="n">
        <x:v>2.3</x:v>
      </x:c>
      <x:c r="B48" s="46" t="n">
        <x:v>0.6364300580928766</x:v>
      </x:c>
      <x:c r="C48" s="58" t="str"/>
      <x:c r="D48" s="58" t="str"/>
      <x:c r="E48" s="60" t="str">
        <x:f>IF(OR(C48="",D48=""),"",C48-1.96*D48)</x:f>
      </x:c>
      <x:c r="F48" s="60" t="str">
        <x:f>IF(OR(C48="",D48=""),"",C48+1.96*D48)</x:f>
      </x:c>
    </x:row>
    <x:row r="49">
      <x:c r="A49" s="46" t="n">
        <x:v>2.35</x:v>
      </x:c>
      <x:c r="B49" s="46" t="n">
        <x:v>0.5957294110855915</x:v>
      </x:c>
      <x:c r="C49" s="58" t="str"/>
      <x:c r="D49" s="58" t="str"/>
      <x:c r="E49" s="60" t="str">
        <x:f>IF(OR(C49="",D49=""),"",C49-1.96*D49)</x:f>
      </x:c>
      <x:c r="F49" s="60" t="str">
        <x:f>IF(OR(C49="",D49=""),"",C49+1.96*D49)</x:f>
      </x:c>
    </x:row>
    <x:row r="50">
      <x:c r="A50" s="46" t="n">
        <x:v>2.4</x:v>
      </x:c>
      <x:c r="B50" s="46" t="n">
        <x:v>0.549650576053724</x:v>
      </x:c>
      <x:c r="C50" s="58" t="str"/>
      <x:c r="D50" s="58" t="str"/>
      <x:c r="E50" s="60" t="str">
        <x:f>IF(OR(C50="",D50=""),"",C50-1.96*D50)</x:f>
      </x:c>
      <x:c r="F50" s="60" t="str">
        <x:f>IF(OR(C50="",D50=""),"",C50+1.96*D50)</x:f>
      </x:c>
    </x:row>
    <x:row r="51">
      <x:c r="A51" s="46" t="n">
        <x:v>2.45</x:v>
      </x:c>
      <x:c r="B51" s="46" t="n">
        <x:v>0.4982364535975217</x:v>
      </x:c>
      <x:c r="C51" s="58" t="str"/>
      <x:c r="D51" s="58" t="str"/>
      <x:c r="E51" s="60" t="str">
        <x:f>IF(OR(C51="",D51=""),"",C51-1.96*D51)</x:f>
      </x:c>
      <x:c r="F51" s="60" t="str">
        <x:f>IF(OR(C51="",D51=""),"",C51+1.96*D51)</x:f>
      </x:c>
    </x:row>
    <x:row r="52">
      <x:c r="A52" s="46" t="n">
        <x:v>2.5</x:v>
      </x:c>
      <x:c r="B52" s="46" t="n">
        <x:v>0.4416121618484664</x:v>
      </x:c>
      <x:c r="C52" s="58" t="str"/>
      <x:c r="D52" s="58" t="str"/>
      <x:c r="E52" s="60" t="str">
        <x:f>IF(OR(C52="",D52=""),"",C52-1.96*D52)</x:f>
      </x:c>
      <x:c r="F52" s="60" t="str">
        <x:f>IF(OR(C52="",D52=""),"",C52+1.96*D52)</x:f>
      </x:c>
    </x:row>
    <x:row r="53">
      <x:c r="A53" s="46" t="n">
        <x:v>2.55</x:v>
      </x:c>
      <x:c r="B53" s="46" t="n">
        <x:v>0.3799862077556587</x:v>
      </x:c>
      <x:c r="C53" s="58" t="str"/>
      <x:c r="D53" s="58" t="str"/>
      <x:c r="E53" s="60" t="str">
        <x:f>IF(OR(C53="",D53=""),"",C53-1.96*D53)</x:f>
      </x:c>
      <x:c r="F53" s="60" t="str">
        <x:f>IF(OR(C53="",D53=""),"",C53+1.96*D53)</x:f>
      </x:c>
    </x:row>
    <x:row r="54">
      <x:c r="A54" s="46" t="n">
        <x:v>2.6</x:v>
      </x:c>
      <x:c r="B54" s="46" t="n">
        <x:v>0.3136503483079108</x:v>
      </x:c>
      <x:c r="C54" s="58" t="str"/>
      <x:c r="D54" s="58" t="str"/>
      <x:c r="E54" s="60" t="str">
        <x:f>IF(OR(C54="",D54=""),"",C54-1.96*D54)</x:f>
      </x:c>
      <x:c r="F54" s="60" t="str">
        <x:f>IF(OR(C54="",D54=""),"",C54+1.96*D54)</x:f>
      </x:c>
    </x:row>
    <x:row r="55">
      <x:c r="A55" s="46" t="n">
        <x:v>2.65</x:v>
      </x:c>
      <x:c r="B55" s="46" t="n">
        <x:v>0.24297813070128424</x:v>
      </x:c>
      <x:c r="C55" s="58" t="str"/>
      <x:c r="D55" s="58" t="str"/>
      <x:c r="E55" s="60" t="str">
        <x:f>IF(OR(C55="",D55=""),"",C55-1.96*D55)</x:f>
      </x:c>
      <x:c r="F55" s="60" t="str">
        <x:f>IF(OR(C55="",D55=""),"",C55+1.96*D55)</x:f>
      </x:c>
    </x:row>
    <x:row r="56">
      <x:c r="A56" s="46" t="n">
        <x:v>2.7</x:v>
      </x:c>
      <x:c r="B56" s="46" t="n">
        <x:v>0.1684221211692083</x:v>
      </x:c>
      <x:c r="C56" s="58" t="str"/>
      <x:c r="D56" s="58" t="str"/>
      <x:c r="E56" s="60" t="str">
        <x:f>IF(OR(C56="",D56=""),"",C56-1.96*D56)</x:f>
      </x:c>
      <x:c r="F56" s="60" t="str">
        <x:f>IF(OR(C56="",D56=""),"",C56+1.96*D56)</x:f>
      </x:c>
    </x:row>
    <x:row r="57">
      <x:c r="A57" s="46" t="n">
        <x:v>2.75</x:v>
      </x:c>
      <x:c r="B57" s="46" t="n">
        <x:v>0.09050985280325316</x:v>
      </x:c>
      <x:c r="C57" s="58" t="str"/>
      <x:c r="D57" s="58" t="str"/>
      <x:c r="E57" s="60" t="str">
        <x:f>IF(OR(C57="",D57=""),"",C57-1.96*D57)</x:f>
      </x:c>
      <x:c r="F57" s="60" t="str">
        <x:f>IF(OR(C57="",D57=""),"",C57+1.96*D57)</x:f>
      </x:c>
    </x:row>
    <x:row r="58">
      <x:c r="A58" s="46" t="n">
        <x:v>2.8</x:v>
      </x:c>
      <x:c r="B58" s="46" t="n">
        <x:v>0.009838542884814117</x:v>
      </x:c>
      <x:c r="C58" s="58" t="str"/>
      <x:c r="D58" s="58" t="str"/>
      <x:c r="E58" s="60" t="str">
        <x:f>IF(OR(C58="",D58=""),"",C58-1.96*D58)</x:f>
      </x:c>
      <x:c r="F58" s="60" t="str">
        <x:f>IF(OR(C58="",D58=""),"",C58+1.96*D58)</x:f>
      </x:c>
    </x:row>
    <x:row r="59">
      <x:c r="A59" s="46" t="n">
        <x:v>2.85</x:v>
      </x:c>
      <x:c r="B59" s="46" t="n">
        <x:v>-0.07293135029445383</x:v>
      </x:c>
      <x:c r="C59" s="58" t="str"/>
      <x:c r="D59" s="58" t="str"/>
      <x:c r="E59" s="60" t="str">
        <x:f>IF(OR(C59="",D59=""),"",C59-1.96*D59)</x:f>
      </x:c>
      <x:c r="F59" s="60" t="str">
        <x:f>IF(OR(C59="",D59=""),"",C59+1.96*D59)</x:f>
      </x:c>
    </x:row>
    <x:row r="60">
      <x:c r="A60" s="46" t="n">
        <x:v>2.9</x:v>
      </x:c>
      <x:c r="B60" s="46" t="n">
        <x:v>-0.15708364272743958</x:v>
      </x:c>
      <x:c r="C60" s="58" t="str"/>
      <x:c r="D60" s="58" t="str"/>
      <x:c r="E60" s="60" t="str">
        <x:f>IF(OR(C60="",D60=""),"",C60-1.96*D60)</x:f>
      </x:c>
      <x:c r="F60" s="60" t="str">
        <x:f>IF(OR(C60="",D60=""),"",C60+1.96*D60)</x:f>
      </x:c>
    </x:row>
    <x:row r="61">
      <x:c r="A61" s="46" t="n">
        <x:v>2.95</x:v>
      </x:c>
      <x:c r="B61" s="46" t="n">
        <x:v>-0.24185490661551998</x:v>
      </x:c>
      <x:c r="C61" s="58" t="str"/>
      <x:c r="D61" s="58" t="str"/>
      <x:c r="E61" s="60" t="str">
        <x:f>IF(OR(C61="",D61=""),"",C61-1.96*D61)</x:f>
      </x:c>
      <x:c r="F61" s="60" t="str">
        <x:f>IF(OR(C61="",D61=""),"",C61+1.96*D61)</x:f>
      </x:c>
    </x:row>
    <x:row r="62">
      <x:c r="A62" s="46" t="n">
        <x:v>3</x:v>
      </x:c>
      <x:c r="B62" s="46" t="n">
        <x:v>-0.3264437979417151</x:v>
      </x:c>
      <x:c r="C62" s="58" t="str"/>
      <x:c r="D62" s="58" t="str"/>
      <x:c r="E62" s="60" t="str">
        <x:f>IF(OR(C62="",D62=""),"",C62-1.96*D62)</x:f>
      </x:c>
      <x:c r="F62" s="60" t="str">
        <x:f>IF(OR(C62="",D62=""),"",C62+1.96*D62)</x:f>
      </x:c>
    </x:row>
    <x:row r="63">
      <x:c r="A63" s="46" t="n">
        <x:v>3.05</x:v>
      </x:c>
      <x:c r="B63" s="46" t="n">
        <x:v>-0.41002109505913775</x:v>
      </x:c>
      <x:c r="C63" s="58" t="str"/>
      <x:c r="D63" s="58" t="str"/>
      <x:c r="E63" s="60" t="str">
        <x:f>IF(OR(C63="",D63=""),"",C63-1.96*D63)</x:f>
      </x:c>
      <x:c r="F63" s="60" t="str">
        <x:f>IF(OR(C63="",D63=""),"",C63+1.96*D63)</x:f>
      </x:c>
    </x:row>
    <x:row r="64">
      <x:c r="A64" s="46" t="n">
        <x:v>3.1</x:v>
      </x:c>
      <x:c r="B64" s="46" t="n">
        <x:v>-0.4917403020615938</x:v>
      </x:c>
      <x:c r="C64" s="58" t="str"/>
      <x:c r="D64" s="58" t="str"/>
      <x:c r="E64" s="60" t="str">
        <x:f>IF(OR(C64="",D64=""),"",C64-1.96*D64)</x:f>
      </x:c>
      <x:c r="F64" s="60" t="str">
        <x:f>IF(OR(C64="",D64=""),"",C64+1.96*D64)</x:f>
      </x:c>
    </x:row>
    <x:row r="65">
      <x:c r="A65" s="46" t="n">
        <x:v>3.15</x:v>
      </x:c>
      <x:c r="B65" s="46" t="n">
        <x:v>-0.5707486613419058</x:v>
      </x:c>
      <x:c r="C65" s="58" t="str"/>
      <x:c r="D65" s="58" t="str"/>
      <x:c r="E65" s="60" t="str">
        <x:f>IF(OR(C65="",D65=""),"",C65-1.96*D65)</x:f>
      </x:c>
      <x:c r="F65" s="60" t="str">
        <x:f>IF(OR(C65="",D65=""),"",C65+1.96*D65)</x:f>
      </x:c>
    </x:row>
    <x:row r="66">
      <x:c r="A66" s="46" t="n">
        <x:v>3.2</x:v>
      </x:c>
      <x:c r="B66" s="46" t="n">
        <x:v>-0.6461984127685891</x:v>
      </x:c>
      <x:c r="C66" s="58" t="str"/>
      <x:c r="D66" s="58" t="str"/>
      <x:c r="E66" s="60" t="str">
        <x:f>IF(OR(C66="",D66=""),"",C66-1.96*D66)</x:f>
      </x:c>
      <x:c r="F66" s="60" t="str">
        <x:f>IF(OR(C66="",D66=""),"",C66+1.96*D66)</x:f>
      </x:c>
    </x:row>
    <x:row r="67">
      <x:c r="A67" s="46" t="n">
        <x:v>3.25</x:v>
      </x:c>
      <x:c r="B67" s="46" t="n">
        <x:v>-0.7172581324341721</x:v>
      </x:c>
      <x:c r="C67" s="58" t="str"/>
      <x:c r="D67" s="58" t="str"/>
      <x:c r="E67" s="60" t="str">
        <x:f>IF(OR(C67="",D67=""),"",C67-1.96*D67)</x:f>
      </x:c>
      <x:c r="F67" s="60" t="str">
        <x:f>IF(OR(C67="",D67=""),"",C67+1.96*D67)</x:f>
      </x:c>
    </x:row>
    <x:row r="68">
      <x:c r="A68" s="46" t="n">
        <x:v>3.3</x:v>
      </x:c>
      <x:c r="B68" s="46" t="n">
        <x:v>-0.783123982021358</x:v>
      </x:c>
      <x:c r="C68" s="58" t="str"/>
      <x:c r="D68" s="58" t="str"/>
      <x:c r="E68" s="60" t="str">
        <x:f>IF(OR(C68="",D68=""),"",C68-1.96*D68)</x:f>
      </x:c>
      <x:c r="F68" s="60" t="str">
        <x:f>IF(OR(C68="",D68=""),"",C68+1.96*D68)</x:f>
      </x:c>
    </x:row>
    <x:row r="69">
      <x:c r="A69" s="46" t="n">
        <x:v>3.35</x:v>
      </x:c>
      <x:c r="B69" s="46" t="n">
        <x:v>-0.8430307005288287</x:v>
      </x:c>
      <x:c r="C69" s="58" t="str"/>
      <x:c r="D69" s="58" t="str"/>
      <x:c r="E69" s="60" t="str">
        <x:f>IF(OR(C69="",D69=""),"",C69-1.96*D69)</x:f>
      </x:c>
      <x:c r="F69" s="60" t="str">
        <x:f>IF(OR(C69="",D69=""),"",C69+1.96*D69)</x:f>
      </x:c>
    </x:row>
    <x:row r="70">
      <x:c r="A70" s="46" t="n">
        <x:v>3.4</x:v>
      </x:c>
      <x:c r="B70" s="46" t="n">
        <x:v>-0.8962621733889593</x:v>
      </x:c>
      <x:c r="C70" s="58" t="str"/>
      <x:c r="D70" s="58" t="str"/>
      <x:c r="E70" s="60" t="str">
        <x:f>IF(OR(C70="",D70=""),"",C70-1.96*D70)</x:f>
      </x:c>
      <x:c r="F70" s="60" t="str">
        <x:f>IF(OR(C70="",D70=""),"",C70+1.96*D70)</x:f>
      </x:c>
    </x:row>
    <x:row r="71">
      <x:c r="A71" s="46" t="n">
        <x:v>3.45</x:v>
      </x:c>
      <x:c r="B71" s="46" t="n">
        <x:v>-0.9421614198467794</x:v>
      </x:c>
      <x:c r="C71" s="58" t="str"/>
      <x:c r="D71" s="58" t="str"/>
      <x:c r="E71" s="60" t="str">
        <x:f>IF(OR(C71="",D71=""),"",C71-1.96*D71)</x:f>
      </x:c>
      <x:c r="F71" s="60" t="str">
        <x:f>IF(OR(C71="",D71=""),"",C71+1.96*D71)</x:f>
      </x:c>
    </x:row>
    <x:row r="72">
      <x:c r="A72" s="46" t="n">
        <x:v>3.5</x:v>
      </x:c>
      <x:c r="B72" s="46" t="n">
        <x:v>-0.9801398477652488</x:v>
      </x:c>
      <x:c r="C72" s="58" t="str"/>
      <x:c r="D72" s="58" t="str"/>
      <x:c r="E72" s="60" t="str">
        <x:f>IF(OR(C72="",D72=""),"",C72-1.96*D72)</x:f>
      </x:c>
      <x:c r="F72" s="60" t="str">
        <x:f>IF(OR(C72="",D72=""),"",C72+1.96*D72)</x:f>
      </x:c>
    </x:row>
    <x:row r="73">
      <x:c r="A73" s="46" t="n">
        <x:v>3.55</x:v>
      </x:c>
      <x:c r="B73" s="46" t="n">
        <x:v>-1.0096856356502306</x:v>
      </x:c>
      <x:c r="C73" s="58" t="str"/>
      <x:c r="D73" s="58" t="str"/>
      <x:c r="E73" s="60" t="str">
        <x:f>IF(OR(C73="",D73=""),"",C73-1.96*D73)</x:f>
      </x:c>
      <x:c r="F73" s="60" t="str">
        <x:f>IF(OR(C73="",D73=""),"",C73+1.96*D73)</x:f>
      </x:c>
    </x:row>
    <x:row r="74">
      <x:c r="A74" s="46" t="n">
        <x:v>3.6</x:v>
      </x:c>
      <x:c r="B74" s="46" t="n">
        <x:v>-1.030371114486921</x:v>
      </x:c>
      <x:c r="C74" s="58" t="str"/>
      <x:c r="D74" s="58" t="str"/>
      <x:c r="E74" s="60" t="str">
        <x:f>IF(OR(C74="",D74=""),"",C74-1.96*D74)</x:f>
      </x:c>
      <x:c r="F74" s="60" t="str">
        <x:f>IF(OR(C74="",D74=""),"",C74+1.96*D74)</x:f>
      </x:c>
    </x:row>
    <x:row r="75">
      <x:c r="A75" s="46" t="n">
        <x:v>3.65</x:v>
      </x:c>
      <x:c r="B75" s="46" t="n">
        <x:v>-1.041859036751734</x:v>
      </x:c>
      <x:c r="C75" s="58" t="str"/>
      <x:c r="D75" s="58" t="str"/>
      <x:c r="E75" s="60" t="str">
        <x:f>IF(OR(C75="",D75=""),"",C75-1.96*D75)</x:f>
      </x:c>
      <x:c r="F75" s="60" t="str">
        <x:f>IF(OR(C75="",D75=""),"",C75+1.96*D75)</x:f>
      </x:c>
    </x:row>
    <x:row r="76">
      <x:c r="A76" s="46" t="n">
        <x:v>3.7</x:v>
      </x:c>
      <x:c r="B76" s="46" t="n">
        <x:v>-1.0439076364827258</x:v>
      </x:c>
      <x:c r="C76" s="58" t="str"/>
      <x:c r="D76" s="58" t="str"/>
      <x:c r="E76" s="60" t="str">
        <x:f>IF(OR(C76="",D76=""),"",C76-1.96*D76)</x:f>
      </x:c>
      <x:c r="F76" s="60" t="str">
        <x:f>IF(OR(C76="",D76=""),"",C76+1.96*D76)</x:f>
      </x:c>
    </x:row>
    <x:row r="77">
      <x:c r="A77" s="46" t="n">
        <x:v>3.75</x:v>
      </x:c>
      <x:c r="B77" s="46" t="n">
        <x:v>-1.0363744023033836</x:v>
      </x:c>
      <x:c r="C77" s="58" t="str"/>
      <x:c r="D77" s="58" t="str"/>
      <x:c r="E77" s="60" t="str">
        <x:f>IF(OR(C77="",D77=""),"",C77-1.96*D77)</x:f>
      </x:c>
      <x:c r="F77" s="60" t="str">
        <x:f>IF(OR(C77="",D77=""),"",C77+1.96*D77)</x:f>
      </x:c>
    </x:row>
    <x:row r="78">
      <x:c r="A78" s="46" t="n">
        <x:v>3.8</x:v>
      </x:c>
      <x:c r="B78" s="46" t="n">
        <x:v>-1.0192185045215416</x:v>
      </x:c>
      <x:c r="C78" s="58" t="str"/>
      <x:c r="D78" s="58" t="str"/>
      <x:c r="E78" s="60" t="str">
        <x:f>IF(OR(C78="",D78=""),"",C78-1.96*D78)</x:f>
      </x:c>
      <x:c r="F78" s="60" t="str">
        <x:f>IF(OR(C78="",D78=""),"",C78+1.96*D78)</x:f>
      </x:c>
    </x:row>
    <x:row r="79">
      <x:c r="A79" s="46" t="n">
        <x:v>3.85</x:v>
      </x:c>
      <x:c r="B79" s="46" t="n">
        <x:v>-0.9925018375709007</x:v>
      </x:c>
      <x:c r="C79" s="58" t="str"/>
      <x:c r="D79" s="58" t="str"/>
      <x:c r="E79" s="60" t="str">
        <x:f>IF(OR(C79="",D79=""),"",C79-1.96*D79)</x:f>
      </x:c>
      <x:c r="F79" s="60" t="str">
        <x:f>IF(OR(C79="",D79=""),"",C79+1.96*D79)</x:f>
      </x:c>
    </x:row>
    <x:row r="80">
      <x:c r="A80" s="46" t="n">
        <x:v>3.9</x:v>
      </x:c>
      <x:c r="B80" s="46" t="n">
        <x:v>-0.9563886598163764</x:v>
      </x:c>
      <x:c r="C80" s="58" t="str"/>
      <x:c r="D80" s="58" t="str"/>
      <x:c r="E80" s="60" t="str">
        <x:f>IF(OR(C80="",D80=""),"",C80-1.96*D80)</x:f>
      </x:c>
      <x:c r="F80" s="60" t="str">
        <x:f>IF(OR(C80="",D80=""),"",C80+1.96*D80)</x:f>
      </x:c>
    </x:row>
    <x:row r="81">
      <x:c r="A81" s="46" t="n">
        <x:v>3.95</x:v>
      </x:c>
      <x:c r="B81" s="46" t="n">
        <x:v>-0.9111438337860338</x:v>
      </x:c>
      <x:c r="C81" s="58" t="str"/>
      <x:c r="D81" s="58" t="str"/>
      <x:c r="E81" s="60" t="str">
        <x:f>IF(OR(C81="",D81=""),"",C81-1.96*D81)</x:f>
      </x:c>
      <x:c r="F81" s="60" t="str">
        <x:f>IF(OR(C81="",D81=""),"",C81+1.96*D81)</x:f>
      </x:c>
    </x:row>
    <x:row r="82">
      <x:c r="A82" s="46" t="n">
        <x:v>4</x:v>
      </x:c>
      <x:c r="B82" s="46" t="n">
        <x:v>-0.8571296908969115</x:v>
      </x:c>
      <x:c r="C82" s="58" t="str"/>
      <x:c r="D82" s="58" t="str"/>
      <x:c r="E82" s="60" t="str">
        <x:f>IF(OR(C82="",D82=""),"",C82-1.96*D82)</x:f>
      </x:c>
      <x:c r="F82" s="60" t="str">
        <x:f>IF(OR(C82="",D82=""),"",C82+1.96*D82)</x:f>
      </x:c>
    </x:row>
    <x:row r="83">
      <x:c r="A83" s="46" t="n">
        <x:v>4.05</x:v>
      </x:c>
      <x:c r="B83" s="46" t="n">
        <x:v>-0.7948015653853429</x:v>
      </x:c>
      <x:c r="C83" s="58" t="str"/>
      <x:c r="D83" s="58" t="str"/>
      <x:c r="E83" s="60" t="str">
        <x:f>IF(OR(C83="",D83=""),"",C83-1.96*D83)</x:f>
      </x:c>
      <x:c r="F83" s="60" t="str">
        <x:f>IF(OR(C83="",D83=""),"",C83+1.96*D83)</x:f>
      </x:c>
    </x:row>
    <x:row r="84">
      <x:c r="A84" s="46" t="n">
        <x:v>4.1</x:v>
      </x:c>
      <x:c r="B84" s="46" t="n">
        <x:v>-0.7247020621158092</x:v>
      </x:c>
      <x:c r="C84" s="58" t="str"/>
      <x:c r="D84" s="58" t="str"/>
      <x:c r="E84" s="60" t="str">
        <x:f>IF(OR(C84="",D84=""),"",C84-1.96*D84)</x:f>
      </x:c>
      <x:c r="F84" s="60" t="str">
        <x:f>IF(OR(C84="",D84=""),"",C84+1.96*D84)</x:f>
      </x:c>
    </x:row>
    <x:row r="85">
      <x:c r="A85" s="46" t="n">
        <x:v>4.15</x:v>
      </x:c>
      <x:c r="B85" s="46" t="n">
        <x:v>-0.6474541419177411</x:v>
      </x:c>
      <x:c r="C85" s="58" t="str"/>
      <x:c r="D85" s="58" t="str"/>
      <x:c r="E85" s="60" t="str">
        <x:f>IF(OR(C85="",D85=""),"",C85-1.96*D85)</x:f>
      </x:c>
      <x:c r="F85" s="60" t="str">
        <x:f>IF(OR(C85="",D85=""),"",C85+1.96*D85)</x:f>
      </x:c>
    </x:row>
    <x:row r="86">
      <x:c r="A86" s="46" t="n">
        <x:v>4.2</x:v>
      </x:c>
      <x:c r="B86" s="46" t="n">
        <x:v>-0.5637531257942532</x:v>
      </x:c>
      <x:c r="C86" s="58" t="str"/>
      <x:c r="D86" s="58" t="str"/>
      <x:c r="E86" s="60" t="str">
        <x:f>IF(OR(C86="",D86=""),"",C86-1.96*D86)</x:f>
      </x:c>
      <x:c r="F86" s="60" t="str">
        <x:f>IF(OR(C86="",D86=""),"",C86+1.96*D86)</x:f>
      </x:c>
    </x:row>
    <x:row r="87">
      <x:c r="A87" s="46" t="n">
        <x:v>4.25</x:v>
      </x:c>
      <x:c r="B87" s="46" t="n">
        <x:v>-0.47435773548762156</x:v>
      </x:c>
      <x:c r="C87" s="58" t="str"/>
      <x:c r="D87" s="58" t="str"/>
      <x:c r="E87" s="60" t="str">
        <x:f>IF(OR(C87="",D87=""),"",C87-1.96*D87)</x:f>
      </x:c>
      <x:c r="F87" s="60" t="str">
        <x:f>IF(OR(C87="",D87=""),"",C87+1.96*D87)</x:f>
      </x:c>
    </x:row>
    <x:row r="88">
      <x:c r="A88" s="46" t="n">
        <x:v>4.3</x:v>
      </x:c>
      <x:c r="B88" s="46" t="n">
        <x:v>-0.3800803022245842</x:v>
      </x:c>
      <x:c r="C88" s="58" t="str"/>
      <x:c r="D88" s="58" t="str"/>
      <x:c r="E88" s="60" t="str">
        <x:f>IF(OR(C88="",D88=""),"",C88-1.96*D88)</x:f>
      </x:c>
      <x:c r="F88" s="60" t="str">
        <x:f>IF(OR(C88="",D88=""),"",C88+1.96*D88)</x:f>
      </x:c>
    </x:row>
    <x:row r="89">
      <x:c r="A89" s="46" t="n">
        <x:v>4.35</x:v>
      </x:c>
      <x:c r="B89" s="46" t="n">
        <x:v>-0.2817762877795219</x:v>
      </x:c>
      <x:c r="C89" s="58" t="str"/>
      <x:c r="D89" s="58" t="str"/>
      <x:c r="E89" s="60" t="str">
        <x:f>IF(OR(C89="",D89=""),"",C89-1.96*D89)</x:f>
      </x:c>
      <x:c r="F89" s="60" t="str">
        <x:f>IF(OR(C89="",D89=""),"",C89+1.96*D89)</x:f>
      </x:c>
    </x:row>
    <x:row r="90">
      <x:c r="A90" s="46" t="n">
        <x:v>4.4</x:v>
      </x:c>
      <x:c r="B90" s="46" t="n">
        <x:v>-0.18033327209582567</x:v>
      </x:c>
      <x:c r="C90" s="58" t="str"/>
      <x:c r="D90" s="58" t="str"/>
      <x:c r="E90" s="60" t="str">
        <x:f>IF(OR(C90="",D90=""),"",C90-1.96*D90)</x:f>
      </x:c>
      <x:c r="F90" s="60" t="str">
        <x:f>IF(OR(C90="",D90=""),"",C90+1.96*D90)</x:f>
      </x:c>
    </x:row>
    <x:row r="91">
      <x:c r="A91" s="46" t="n">
        <x:v>4.45</x:v>
      </x:c>
      <x:c r="B91" s="46" t="n">
        <x:v>-0.07665956944037738</x:v>
      </x:c>
      <x:c r="C91" s="58" t="str"/>
      <x:c r="D91" s="58" t="str"/>
      <x:c r="E91" s="60" t="str">
        <x:f>IF(OR(C91="",D91=""),"",C91-1.96*D91)</x:f>
      </x:c>
      <x:c r="F91" s="60" t="str">
        <x:f>IF(OR(C91="",D91=""),"",C91+1.96*D91)</x:f>
      </x:c>
    </x:row>
    <x:row r="92">
      <x:c r="A92" s="46" t="n">
        <x:v>4.5</x:v>
      </x:c>
      <x:c r="B92" s="46" t="n">
        <x:v>0.028327359685255127</x:v>
      </x:c>
      <x:c r="C92" s="58" t="str"/>
      <x:c r="D92" s="58" t="str"/>
      <x:c r="E92" s="60" t="str">
        <x:f>IF(OR(C92="",D92=""),"",C92-1.96*D92)</x:f>
      </x:c>
      <x:c r="F92" s="60" t="str">
        <x:f>IF(OR(C92="",D92=""),"",C92+1.96*D92)</x:f>
      </x:c>
    </x:row>
    <x:row r="93">
      <x:c r="A93" s="46" t="n">
        <x:v>4.55</x:v>
      </x:c>
      <x:c r="B93" s="46" t="n">
        <x:v>0.13371253096999827</x:v>
      </x:c>
      <x:c r="C93" s="58" t="str"/>
      <x:c r="D93" s="58" t="str"/>
      <x:c r="E93" s="60" t="str">
        <x:f>IF(OR(C93="",D93=""),"",C93-1.96*D93)</x:f>
      </x:c>
      <x:c r="F93" s="60" t="str">
        <x:f>IF(OR(C93="",D93=""),"",C93+1.96*D93)</x:f>
      </x:c>
    </x:row>
    <x:row r="94">
      <x:c r="A94" s="46" t="n">
        <x:v>4.6</x:v>
      </x:c>
      <x:c r="B94" s="46" t="n">
        <x:v>0.23859492306995764</x:v>
      </x:c>
      <x:c r="C94" s="58" t="str"/>
      <x:c r="D94" s="58" t="str"/>
      <x:c r="E94" s="60" t="str">
        <x:f>IF(OR(C94="",D94=""),"",C94-1.96*D94)</x:f>
      </x:c>
      <x:c r="F94" s="60" t="str">
        <x:f>IF(OR(C94="",D94=""),"",C94+1.96*D94)</x:f>
      </x:c>
    </x:row>
    <x:row r="95">
      <x:c r="A95" s="46" t="n">
        <x:v>4.65</x:v>
      </x:c>
      <x:c r="B95" s="46" t="n">
        <x:v>0.3420986612781473</x:v>
      </x:c>
      <x:c r="C95" s="58" t="str"/>
      <x:c r="D95" s="58" t="str"/>
      <x:c r="E95" s="60" t="str">
        <x:f>IF(OR(C95="",D95=""),"",C95-1.96*D95)</x:f>
      </x:c>
      <x:c r="F95" s="60" t="str">
        <x:f>IF(OR(C95="",D95=""),"",C95+1.96*D95)</x:f>
      </x:c>
    </x:row>
    <x:row r="96">
      <x:c r="A96" s="46" t="n">
        <x:v>4.7</x:v>
      </x:c>
      <x:c r="B96" s="46" t="n">
        <x:v>0.44338373571863343</x:v>
      </x:c>
      <x:c r="C96" s="58" t="str"/>
      <x:c r="D96" s="58" t="str"/>
      <x:c r="E96" s="60" t="str">
        <x:f>IF(OR(C96="",D96=""),"",C96-1.96*D96)</x:f>
      </x:c>
      <x:c r="F96" s="60" t="str">
        <x:f>IF(OR(C96="",D96=""),"",C96+1.96*D96)</x:f>
      </x:c>
    </x:row>
    <x:row r="97">
      <x:c r="A97" s="46" t="n">
        <x:v>4.75</x:v>
      </x:c>
      <x:c r="B97" s="46" t="n">
        <x:v>0.5416560992686896</x:v>
      </x:c>
      <x:c r="C97" s="58" t="str"/>
      <x:c r="D97" s="58" t="str"/>
      <x:c r="E97" s="60" t="str">
        <x:f>IF(OR(C97="",D97=""),"",C97-1.96*D97)</x:f>
      </x:c>
      <x:c r="F97" s="60" t="str">
        <x:f>IF(OR(C97="",D97=""),"",C97+1.96*D97)</x:f>
      </x:c>
    </x:row>
    <x:row r="98">
      <x:c r="A98" s="46" t="n">
        <x:v>4.8</x:v>
      </x:c>
      <x:c r="B98" s="46" t="n">
        <x:v>0.6361770003476436</x:v>
      </x:c>
      <x:c r="C98" s="58" t="str"/>
      <x:c r="D98" s="58" t="str"/>
      <x:c r="E98" s="60" t="str">
        <x:f>IF(OR(C98="",D98=""),"",C98-1.96*D98)</x:f>
      </x:c>
      <x:c r="F98" s="60" t="str">
        <x:f>IF(OR(C98="",D98=""),"",C98+1.96*D98)</x:f>
      </x:c>
    </x:row>
    <x:row r="99">
      <x:c r="A99" s="46" t="n">
        <x:v>4.85</x:v>
      </x:c>
      <x:c r="B99" s="46" t="n">
        <x:v>0.726271417853104</x:v>
      </x:c>
      <x:c r="C99" s="58" t="str"/>
      <x:c r="D99" s="58" t="str"/>
      <x:c r="E99" s="60" t="str">
        <x:f>IF(OR(C99="",D99=""),"",C99-1.96*D99)</x:f>
      </x:c>
      <x:c r="F99" s="60" t="str">
        <x:f>IF(OR(C99="",D99=""),"",C99+1.96*D99)</x:f>
      </x:c>
    </x:row>
    <x:row r="100">
      <x:c r="A100" s="46" t="n">
        <x:v>4.9</x:v>
      </x:c>
      <x:c r="B100" s="46" t="n">
        <x:v>0.8113354796836879</x:v>
      </x:c>
      <x:c r="C100" s="58" t="str"/>
      <x:c r="D100" s="58" t="str"/>
      <x:c r="E100" s="60" t="str">
        <x:f>IF(OR(C100="",D100=""),"",C100-1.96*D100)</x:f>
      </x:c>
      <x:c r="F100" s="60" t="str">
        <x:f>IF(OR(C100="",D100=""),"",C100+1.96*D100)</x:f>
      </x:c>
    </x:row>
    <x:row r="101">
      <x:c r="A101" s="46" t="n">
        <x:v>4.95</x:v>
      </x:c>
      <x:c r="B101" s="46" t="n">
        <x:v>0.8908427622407077</x:v>
      </x:c>
      <x:c r="C101" s="58" t="str"/>
      <x:c r="D101" s="58" t="str"/>
      <x:c r="E101" s="60" t="str">
        <x:f>IF(OR(C101="",D101=""),"",C101-1.96*D101)</x:f>
      </x:c>
      <x:c r="F101" s="60" t="str">
        <x:f>IF(OR(C101="",D101=""),"",C101+1.96*D101)</x:f>
      </x:c>
    </x:row>
    <x:row r="102">
      <x:c r="A102" s="46" t="n">
        <x:v>5</x:v>
      </x:c>
      <x:c r="B102" s="46" t="n">
        <x:v>0.9643493858003188</x:v>
      </x:c>
      <x:c r="C102" s="58" t="str"/>
      <x:c r="D102" s="58" t="str"/>
      <x:c r="E102" s="60" t="str">
        <x:f>IF(OR(C102="",D102=""),"",C102-1.96*D102)</x:f>
      </x:c>
      <x:c r="F102" s="60" t="str">
        <x:f>IF(OR(C102="",D102=""),"",C102+1.96*D102)</x:f>
      </x:c>
    </x:row>
    <x:row r="103">
      <x:c r="A103" s="46" t="n">
        <x:v>5.05</x:v>
      </x:c>
      <x:c r="B103" s="46" t="n">
        <x:v>1.0314978394188745</x:v>
      </x:c>
      <x:c r="C103" s="58" t="str"/>
      <x:c r="D103" s="58" t="str"/>
      <x:c r="E103" s="60" t="str">
        <x:f>IF(OR(C103="",D103=""),"",C103-1.96*D103)</x:f>
      </x:c>
      <x:c r="F103" s="60" t="str">
        <x:f>IF(OR(C103="",D103=""),"",C103+1.96*D103)</x:f>
      </x:c>
    </x:row>
    <x:row r="104">
      <x:c r="A104" s="46" t="n">
        <x:v>5.1</x:v>
      </x:c>
      <x:c r="B104" s="46" t="n">
        <x:v>1.0920194887851697</x:v>
      </x:c>
      <x:c r="C104" s="58" t="str"/>
      <x:c r="D104" s="58" t="str"/>
      <x:c r="E104" s="60" t="str">
        <x:f>IF(OR(C104="",D104=""),"",C104-1.96*D104)</x:f>
      </x:c>
      <x:c r="F104" s="60" t="str">
        <x:f>IF(OR(C104="",D104=""),"",C104+1.96*D104)</x:f>
      </x:c>
    </x:row>
    <x:row r="105">
      <x:c r="A105" s="46" t="n">
        <x:v>5.15</x:v>
      </x:c>
      <x:c r="B105" s="46" t="n">
        <x:v>1.1457357408557267</x:v>
      </x:c>
      <x:c r="C105" s="58" t="str"/>
      <x:c r="D105" s="58" t="str"/>
      <x:c r="E105" s="60" t="str">
        <x:f>IF(OR(C105="",D105=""),"",C105-1.96*D105)</x:f>
      </x:c>
      <x:c r="F105" s="60" t="str">
        <x:f>IF(OR(C105="",D105=""),"",C105+1.96*D105)</x:f>
      </x:c>
    </x:row>
    <x:row r="106">
      <x:c r="A106" s="46" t="n">
        <x:v>5.2</x:v>
      </x:c>
      <x:c r="B106" s="46" t="n">
        <x:v>1.1925578598852598</x:v>
      </x:c>
      <x:c r="C106" s="58" t="str"/>
      <x:c r="D106" s="58" t="str"/>
      <x:c r="E106" s="60" t="str">
        <x:f>IF(OR(C106="",D106=""),"",C106-1.96*D106)</x:f>
      </x:c>
      <x:c r="F106" s="60" t="str">
        <x:f>IF(OR(C106="",D106=""),"",C106+1.96*D106)</x:f>
      </x:c>
    </x:row>
    <x:row r="107">
      <x:c r="A107" s="46" t="n">
        <x:v>5.25</x:v>
      </x:c>
      <x:c r="B107" s="46" t="n">
        <x:v>1.2324854502705602</x:v>
      </x:c>
      <x:c r="C107" s="58" t="str"/>
      <x:c r="D107" s="58" t="str"/>
      <x:c r="E107" s="60" t="str">
        <x:f>IF(OR(C107="",D107=""),"",C107-1.96*D107)</x:f>
      </x:c>
      <x:c r="F107" s="60" t="str">
        <x:f>IF(OR(C107="",D107=""),"",C107+1.96*D107)</x:f>
      </x:c>
    </x:row>
    <x:row r="108">
      <x:c r="A108" s="46" t="n">
        <x:v>5.3</x:v>
      </x:c>
      <x:c r="B108" s="46" t="n">
        <x:v>1.2656036421384966</x:v>
      </x:c>
      <x:c r="C108" s="58" t="str"/>
      <x:c r="D108" s="58" t="str"/>
      <x:c r="E108" s="60" t="str">
        <x:f>IF(OR(C108="",D108=""),"",C108-1.96*D108)</x:f>
      </x:c>
      <x:c r="F108" s="60" t="str">
        <x:f>IF(OR(C108="",D108=""),"",C108+1.96*D108)</x:f>
      </x:c>
    </x:row>
    <x:row r="109">
      <x:c r="A109" s="46" t="n">
        <x:v>5.35</x:v>
      </x:c>
      <x:c r="B109" s="46" t="n">
        <x:v>1.2920790355088654</x:v>
      </x:c>
      <x:c r="C109" s="58" t="str"/>
      <x:c r="D109" s="58" t="str"/>
      <x:c r="E109" s="60" t="str">
        <x:f>IF(OR(C109="",D109=""),"",C109-1.96*D109)</x:f>
      </x:c>
      <x:c r="F109" s="60" t="str">
        <x:f>IF(OR(C109="",D109=""),"",C109+1.96*D109)</x:f>
      </x:c>
    </x:row>
    <x:row r="110">
      <x:c r="A110" s="46" t="n">
        <x:v>5.4</x:v>
      </x:c>
      <x:c r="B110" s="46" t="n">
        <x:v>1.3121544778413243</x:v>
      </x:c>
      <x:c r="C110" s="58" t="str"/>
      <x:c r="D110" s="58" t="str"/>
      <x:c r="E110" s="60" t="str">
        <x:f>IF(OR(C110="",D110=""),"",C110-1.96*D110)</x:f>
      </x:c>
      <x:c r="F110" s="60" t="str">
        <x:f>IF(OR(C110="",D110=""),"",C110+1.96*D110)</x:f>
      </x:c>
    </x:row>
    <x:row r="111">
      <x:c r="A111" s="46" t="n">
        <x:v>5.45</x:v>
      </x:c>
      <x:c r="B111" s="46" t="n">
        <x:v>1.3261427675381234</x:v>
      </x:c>
      <x:c r="C111" s="58" t="str"/>
      <x:c r="D111" s="58" t="str"/>
      <x:c r="E111" s="60" t="str">
        <x:f>IF(OR(C111="",D111=""),"",C111-1.96*D111)</x:f>
      </x:c>
      <x:c r="F111" s="60" t="str">
        <x:f>IF(OR(C111="",D111=""),"",C111+1.96*D111)</x:f>
      </x:c>
    </x:row>
    <x:row r="112">
      <x:c r="A112" s="46" t="n">
        <x:v>5.5</x:v>
      </x:c>
      <x:c r="B112" s="46" t="n">
        <x:v>1.334419392245464</x:v>
      </x:c>
      <x:c r="C112" s="58" t="str"/>
      <x:c r="D112" s="58" t="str"/>
      <x:c r="E112" s="60" t="str">
        <x:f>IF(OR(C112="",D112=""),"",C112-1.96*D112)</x:f>
      </x:c>
      <x:c r="F112" s="60" t="str">
        <x:f>IF(OR(C112="",D112=""),"",C112+1.96*D112)</x:f>
      </x:c>
    </x:row>
    <x:row r="113">
      <x:c r="A113" s="46" t="n">
        <x:v>5.55</x:v>
      </x:c>
      <x:c r="B113" s="46" t="n">
        <x:v>1.3374144253242999</x:v>
      </x:c>
      <x:c r="C113" s="58" t="str"/>
      <x:c r="D113" s="58" t="str"/>
      <x:c r="E113" s="60" t="str">
        <x:f>IF(OR(C113="",D113=""),"",C113-1.96*D113)</x:f>
      </x:c>
      <x:c r="F113" s="60" t="str">
        <x:f>IF(OR(C113="",D113=""),"",C113+1.96*D113)</x:f>
      </x:c>
    </x:row>
    <x:row r="114">
      <x:c r="A114" s="46" t="n">
        <x:v>5.6</x:v>
      </x:c>
      <x:c r="B114" s="46" t="n">
        <x:v>1.3356037164217212</x:v>
      </x:c>
      <x:c r="C114" s="58" t="str"/>
      <x:c r="D114" s="58" t="str"/>
      <x:c r="E114" s="60" t="str">
        <x:f>IF(OR(C114="",D114=""),"",C114-1.96*D114)</x:f>
      </x:c>
      <x:c r="F114" s="60" t="str">
        <x:f>IF(OR(C114="",D114=""),"",C114+1.96*D114)</x:f>
      </x:c>
    </x:row>
    <x:row r="115">
      <x:c r="A115" s="46" t="n">
        <x:v>5.65</x:v>
      </x:c>
      <x:c r="B115" s="46" t="n">
        <x:v>1.3294995224732111</x:v>
      </x:c>
      <x:c r="C115" s="58" t="str"/>
      <x:c r="D115" s="58" t="str"/>
      <x:c r="E115" s="60" t="str">
        <x:f>IF(OR(C115="",D115=""),"",C115-1.96*D115)</x:f>
      </x:c>
      <x:c r="F115" s="60" t="str">
        <x:f>IF(OR(C115="",D115=""),"",C115+1.96*D115)</x:f>
      </x:c>
    </x:row>
    <x:row r="116">
      <x:c r="A116" s="46" t="n">
        <x:v>5.7</x:v>
      </x:c>
      <x:c r="B116" s="46" t="n">
        <x:v>1.3196407335443423</x:v>
      </x:c>
      <x:c r="C116" s="58" t="str"/>
      <x:c r="D116" s="58" t="str"/>
      <x:c r="E116" s="60" t="str">
        <x:f>IF(OR(C116="",D116=""),"",C116-1.96*D116)</x:f>
      </x:c>
      <x:c r="F116" s="60" t="str">
        <x:f>IF(OR(C116="",D116=""),"",C116+1.96*D116)</x:f>
      </x:c>
    </x:row>
    <x:row r="117">
      <x:c r="A117" s="46" t="n">
        <x:v>5.75</x:v>
      </x:c>
      <x:c r="B117" s="46" t="n">
        <x:v>1.3065828535546173</x:v>
      </x:c>
      <x:c r="C117" s="58" t="str"/>
      <x:c r="D117" s="58" t="str"/>
      <x:c r="E117" s="60" t="str">
        <x:f>IF(OR(C117="",D117=""),"",C117-1.96*D117)</x:f>
      </x:c>
      <x:c r="F117" s="60" t="str">
        <x:f>IF(OR(C117="",D117=""),"",C117+1.96*D117)</x:f>
      </x:c>
    </x:row>
    <x:row r="118">
      <x:c r="A118" s="46" t="n">
        <x:v>5.8</x:v>
      </x:c>
      <x:c r="B118" s="46" t="n">
        <x:v>1.2908878990310622</x:v>
      </x:c>
      <x:c r="C118" s="58" t="str"/>
      <x:c r="D118" s="58" t="str"/>
      <x:c r="E118" s="60" t="str">
        <x:f>IF(OR(C118="",D118=""),"",C118-1.96*D118)</x:f>
      </x:c>
      <x:c r="F118" s="60" t="str">
        <x:f>IF(OR(C118="",D118=""),"",C118+1.96*D118)</x:f>
      </x:c>
    </x:row>
    <x:row r="119">
      <x:c r="A119" s="46" t="n">
        <x:v>5.85</x:v>
      </x:c>
      <x:c r="B119" s="46" t="n">
        <x:v>1.2731143795695907</x:v>
      </x:c>
      <x:c r="C119" s="58" t="str"/>
      <x:c r="D119" s="58" t="str"/>
      <x:c r="E119" s="60" t="str">
        <x:f>IF(OR(C119="",D119=""),"",C119-1.96*D119)</x:f>
      </x:c>
      <x:c r="F119" s="60" t="str">
        <x:f>IF(OR(C119="",D119=""),"",C119+1.96*D119)</x:f>
      </x:c>
    </x:row>
    <x:row r="120">
      <x:c r="A120" s="46" t="n">
        <x:v>5.9</x:v>
      </x:c>
      <x:c r="B120" s="46" t="n">
        <x:v>1.253807521632778</x:v>
      </x:c>
      <x:c r="C120" s="58" t="str"/>
      <x:c r="D120" s="58" t="str"/>
      <x:c r="E120" s="60" t="str">
        <x:f>IF(OR(C120="",D120=""),"",C120-1.96*D120)</x:f>
      </x:c>
      <x:c r="F120" s="60" t="str">
        <x:f>IF(OR(C120="",D120=""),"",C120+1.96*D120)</x:f>
      </x:c>
    </x:row>
    <x:row r="121">
      <x:c r="A121" s="46" t="n">
        <x:v>5.95</x:v>
      </x:c>
      <x:c r="B121" s="46" t="n">
        <x:v>1.233489892718914</x:v>
      </x:c>
      <x:c r="C121" s="58" t="str"/>
      <x:c r="D121" s="58" t="str"/>
      <x:c r="E121" s="60" t="str">
        <x:f>IF(OR(C121="",D121=""),"",C121-1.96*D121)</x:f>
      </x:c>
      <x:c r="F121" s="60" t="str">
        <x:f>IF(OR(C121="",D121=""),"",C121+1.96*D121)</x:f>
      </x:c>
    </x:row>
    <x:row r="122">
      <x:c r="A122" s="46" t="n">
        <x:v>6</x:v>
      </x:c>
      <x:c r="B122" s="46" t="n">
        <x:v>1.2126525758740176</x:v>
      </x:c>
      <x:c r="C122" s="58" t="str"/>
      <x:c r="D122" s="58" t="str"/>
      <x:c r="E122" s="60" t="str">
        <x:f>IF(OR(C122="",D122=""),"",C122-1.96*D122)</x:f>
      </x:c>
      <x:c r="F122" s="60" t="str">
        <x:f>IF(OR(C122="",D122=""),"",C122+1.96*D122)</x:f>
      </x:c>
    </x:row>
    <x:row r="123">
      <x:c r="A123" s="46" t="n">
        <x:v>6.05</x:v>
      </x:c>
      <x:c r="B123" s="46" t="n">
        <x:v>1.191747035099558</x:v>
      </x:c>
      <x:c r="C123" s="58" t="str"/>
      <x:c r="D123" s="58" t="str"/>
      <x:c r="E123" s="60" t="str">
        <x:f>IF(OR(C123="",D123=""),"",C123-1.96*D123)</x:f>
      </x:c>
      <x:c r="F123" s="60" t="str">
        <x:f>IF(OR(C123="",D123=""),"",C123+1.96*D123)</x:f>
      </x:c>
    </x:row>
    <x:row r="124">
      <x:c r="A124" s="46" t="n">
        <x:v>6.1</x:v>
      </x:c>
      <x:c r="B124" s="46" t="n">
        <x:v>1.171177800584466</x:v>
      </x:c>
      <x:c r="C124" s="58" t="str"/>
      <x:c r="D124" s="58" t="str"/>
      <x:c r="E124" s="60" t="str">
        <x:f>IF(OR(C124="",D124=""),"",C124-1.96*D124)</x:f>
      </x:c>
      <x:c r="F124" s="60" t="str">
        <x:f>IF(OR(C124="",D124=""),"",C124+1.96*D124)</x:f>
      </x:c>
    </x:row>
    <x:row r="125">
      <x:c r="A125" s="46" t="n">
        <x:v>6.15</x:v>
      </x:c>
      <x:c r="B125" s="46" t="n">
        <x:v>1.151296089045545</x:v>
      </x:c>
      <x:c r="C125" s="58" t="str"/>
      <x:c r="D125" s="58" t="str"/>
      <x:c r="E125" s="60" t="str">
        <x:f>IF(OR(C125="",D125=""),"",C125-1.96*D125)</x:f>
      </x:c>
      <x:c r="F125" s="60" t="str">
        <x:f>IF(OR(C125="",D125=""),"",C125+1.96*D125)</x:f>
      </x:c>
    </x:row>
    <x:row r="126">
      <x:c r="A126" s="46" t="n">
        <x:v>6.2</x:v>
      </x:c>
      <x:c r="B126" s="46" t="n">
        <x:v>1.132394459012138</x:v>
      </x:c>
      <x:c r="C126" s="58" t="str"/>
      <x:c r="D126" s="58" t="str"/>
      <x:c r="E126" s="60" t="str">
        <x:f>IF(OR(C126="",D126=""),"",C126-1.96*D126)</x:f>
      </x:c>
      <x:c r="F126" s="60" t="str">
        <x:f>IF(OR(C126="",D126=""),"",C126+1.96*D126)</x:f>
      </x:c>
    </x:row>
    <x:row r="127">
      <x:c r="A127" s="46" t="n">
        <x:v>6.25</x:v>
      </x:c>
      <x:c r="B127" s="46" t="n">
        <x:v>1.1147025838835536</x:v>
      </x:c>
      <x:c r="C127" s="58" t="str"/>
      <x:c r="D127" s="58" t="str"/>
      <x:c r="E127" s="60" t="str">
        <x:f>IF(OR(C127="",D127=""),"",C127-1.96*D127)</x:f>
      </x:c>
      <x:c r="F127" s="60" t="str">
        <x:f>IF(OR(C127="",D127=""),"",C127+1.96*D127)</x:f>
      </x:c>
    </x:row>
    <x:row r="128">
      <x:c r="A128" s="46" t="n">
        <x:v>6.3</x:v>
      </x:c>
      <x:c r="B128" s="46" t="n">
        <x:v>1.0983842072903127</x:v>
      </x:c>
      <x:c r="C128" s="58" t="str"/>
      <x:c r="D128" s="58" t="str"/>
      <x:c r="E128" s="60" t="str">
        <x:f>IF(OR(C128="",D128=""),"",C128-1.96*D128)</x:f>
      </x:c>
      <x:c r="F128" s="60" t="str">
        <x:f>IF(OR(C128="",D128=""),"",C128+1.96*D128)</x:f>
      </x:c>
    </x:row>
    <x:row r="129">
      <x:c r="A129" s="46" t="n">
        <x:v>6.35</x:v>
      </x:c>
      <x:c r="B129" s="46" t="n">
        <x:v>1.0835353259918843</x:v>
      </x:c>
      <x:c r="C129" s="58" t="str"/>
      <x:c r="D129" s="58" t="str"/>
      <x:c r="E129" s="60" t="str">
        <x:f>IF(OR(C129="",D129=""),"",C129-1.96*D129)</x:f>
      </x:c>
      <x:c r="F129" s="60" t="str">
        <x:f>IF(OR(C129="",D129=""),"",C129+1.96*D129)</x:f>
      </x:c>
    </x:row>
    <x:row r="130">
      <x:c r="A130" s="46" t="n">
        <x:v>6.4</x:v>
      </x:c>
      <x:c r="B130" s="46" t="n">
        <x:v>1.0701836255489674</x:v>
      </x:c>
      <x:c r="C130" s="58" t="str"/>
      <x:c r="D130" s="58" t="str"/>
      <x:c r="E130" s="60" t="str">
        <x:f>IF(OR(C130="",D130=""),"",C130-1.96*D130)</x:f>
      </x:c>
      <x:c r="F130" s="60" t="str">
        <x:f>IF(OR(C130="",D130=""),"",C130+1.96*D130)</x:f>
      </x:c>
    </x:row>
    <x:row r="131">
      <x:c r="A131" s="46" t="n">
        <x:v>6.45</x:v>
      </x:c>
      <x:c r="B131" s="46" t="n">
        <x:v>1.0582891736331046</x:v>
      </x:c>
      <x:c r="C131" s="58" t="str"/>
      <x:c r="D131" s="58" t="str"/>
      <x:c r="E131" s="60" t="str">
        <x:f>IF(OR(C131="",D131=""),"",C131-1.96*D131)</x:f>
      </x:c>
      <x:c r="F131" s="60" t="str">
        <x:f>IF(OR(C131="",D131=""),"",C131+1.96*D131)</x:f>
      </x:c>
    </x:row>
    <x:row r="132">
      <x:c r="A132" s="46" t="n">
        <x:v>6.5</x:v>
      </x:c>
      <x:c r="B132" s="46" t="n">
        <x:v>1.0477463554018882</x:v>
      </x:c>
      <x:c r="C132" s="58" t="str"/>
      <x:c r="D132" s="58" t="str"/>
      <x:c r="E132" s="60" t="str">
        <x:f>IF(OR(C132="",D132=""),"",C132-1.96*D132)</x:f>
      </x:c>
      <x:c r="F132" s="60" t="str">
        <x:f>IF(OR(C132="",D132=""),"",C132+1.96*D132)</x:f>
      </x:c>
    </x:row>
    <x:row r="133">
      <x:c r="A133" s="46" t="n">
        <x:v>6.55</x:v>
      </x:c>
      <x:c r="B133" s="46" t="n">
        <x:v>1.038387015196617</x:v>
      </x:c>
      <x:c r="C133" s="58" t="str"/>
      <x:c r="D133" s="58" t="str"/>
      <x:c r="E133" s="60" t="str">
        <x:f>IF(OR(C133="",D133=""),"",C133-1.96*D133)</x:f>
      </x:c>
      <x:c r="F133" s="60" t="str">
        <x:f>IF(OR(C133="",D133=""),"",C133+1.96*D133)</x:f>
      </x:c>
    </x:row>
    <x:row r="134">
      <x:c r="A134" s="46" t="n">
        <x:v>6.6</x:v>
      </x:c>
      <x:c r="B134" s="46" t="n">
        <x:v>1.02998474922894</x:v>
      </x:c>
      <x:c r="C134" s="58" t="str"/>
      <x:c r="D134" s="58" t="str"/>
      <x:c r="E134" s="60" t="str">
        <x:f>IF(OR(C134="",D134=""),"",C134-1.96*D134)</x:f>
      </x:c>
      <x:c r="F134" s="60" t="str">
        <x:f>IF(OR(C134="",D134=""),"",C134+1.96*D134)</x:f>
      </x:c>
    </x:row>
    <x:row r="135">
      <x:c r="A135" s="46" t="n">
        <x:v>6.65</x:v>
      </x:c>
      <x:c r="B135" s="46" t="n">
        <x:v>1.0222602752229077</x:v>
      </x:c>
      <x:c r="C135" s="58" t="str"/>
      <x:c r="D135" s="58" t="str"/>
      <x:c r="E135" s="60" t="str">
        <x:f>IF(OR(C135="",D135=""),"",C135-1.96*D135)</x:f>
      </x:c>
      <x:c r="F135" s="60" t="str">
        <x:f>IF(OR(C135="",D135=""),"",C135+1.96*D135)</x:f>
      </x:c>
    </x:row>
    <x:row r="136">
      <x:c r="A136" s="46" t="n">
        <x:v>6.7</x:v>
      </x:c>
      <x:c r="B136" s="46" t="n">
        <x:v>1.0148877874636826</x:v>
      </x:c>
      <x:c r="C136" s="58" t="str"/>
      <x:c r="D136" s="58" t="str"/>
      <x:c r="E136" s="60" t="str">
        <x:f>IF(OR(C136="",D136=""),"",C136-1.96*D136)</x:f>
      </x:c>
      <x:c r="F136" s="60" t="str">
        <x:f>IF(OR(C136="",D136=""),"",C136+1.96*D136)</x:f>
      </x:c>
    </x:row>
    <x:row r="137">
      <x:c r="A137" s="46" t="n">
        <x:v>6.75</x:v>
      </x:c>
      <x:c r="B137" s="46" t="n">
        <x:v>1.007502189650379</x:v>
      </x:c>
      <x:c r="C137" s="58" t="str"/>
      <x:c r="D137" s="58" t="str"/>
      <x:c r="E137" s="60" t="str">
        <x:f>IF(OR(C137="",D137=""),"",C137-1.96*D137)</x:f>
      </x:c>
      <x:c r="F137" s="60" t="str">
        <x:f>IF(OR(C137="",D137=""),"",C137+1.96*D137)</x:f>
      </x:c>
    </x:row>
    <x:row r="138">
      <x:c r="A138" s="46" t="n">
        <x:v>6.8</x:v>
      </x:c>
      <x:c r="B138" s="46" t="n">
        <x:v>0.9997070836114741</x:v>
      </x:c>
      <x:c r="C138" s="58" t="str"/>
      <x:c r="D138" s="58" t="str"/>
      <x:c r="E138" s="60" t="str">
        <x:f>IF(OR(C138="",D138=""),"",C138-1.96*D138)</x:f>
      </x:c>
      <x:c r="F138" s="60" t="str">
        <x:f>IF(OR(C138="",D138=""),"",C138+1.96*D138)</x:f>
      </x:c>
    </x:row>
    <x:row r="139">
      <x:c r="A139" s="46" t="n">
        <x:v>6.85</x:v>
      </x:c>
      <x:c r="B139" s="46" t="n">
        <x:v>0.9910833795433175</x:v>
      </x:c>
      <x:c r="C139" s="58" t="str"/>
      <x:c r="D139" s="58" t="str"/>
      <x:c r="E139" s="60" t="str">
        <x:f>IF(OR(C139="",D139=""),"",C139-1.96*D139)</x:f>
      </x:c>
      <x:c r="F139" s="60" t="str">
        <x:f>IF(OR(C139="",D139=""),"",C139+1.96*D139)</x:f>
      </x:c>
    </x:row>
    <x:row r="140">
      <x:c r="A140" s="46" t="n">
        <x:v>6.9</x:v>
      </x:c>
      <x:c r="B140" s="46" t="n">
        <x:v>0.9811983831716251</x:v>
      </x:c>
      <x:c r="C140" s="58" t="str"/>
      <x:c r="D140" s="58" t="str"/>
      <x:c r="E140" s="60" t="str">
        <x:f>IF(OR(C140="",D140=""),"",C140-1.96*D140)</x:f>
      </x:c>
      <x:c r="F140" s="60" t="str">
        <x:f>IF(OR(C140="",D140=""),"",C140+1.96*D140)</x:f>
      </x:c>
    </x:row>
    <x:row r="141">
      <x:c r="A141" s="46" t="n">
        <x:v>6.95</x:v>
      </x:c>
      <x:c r="B141" s="46" t="n">
        <x:v>0.9696152072748419</x:v>
      </x:c>
      <x:c r="C141" s="58" t="str"/>
      <x:c r="D141" s="58" t="str"/>
      <x:c r="E141" s="60" t="str">
        <x:f>IF(OR(C141="",D141=""),"",C141-1.96*D141)</x:f>
      </x:c>
      <x:c r="F141" s="60" t="str">
        <x:f>IF(OR(C141="",D141=""),"",C141+1.96*D141)</x:f>
      </x:c>
    </x:row>
    <x:row r="142">
      <x:c r="A142" s="46" t="n">
        <x:v>7</x:v>
      </x:c>
      <x:c r="B142" s="46" t="n">
        <x:v>0.9559023494733629</x:v>
      </x:c>
      <x:c r="C142" s="58" t="str"/>
      <x:c r="D142" s="58" t="str"/>
      <x:c r="E142" s="60" t="str">
        <x:f>IF(OR(C142="",D142=""),"",C142-1.96*D142)</x:f>
      </x:c>
      <x:c r="F142" s="60" t="str">
        <x:f>IF(OR(C142="",D142=""),"",C142+1.96*D142)</x:f>
      </x:c>
    </x:row>
    <x:row r="143">
      <x:c r="A143" s="46" t="n">
        <x:v>7.05</x:v>
      </x:c>
      <x:c r="B143" s="46" t="n">
        <x:v>0.939643275168233</x:v>
      </x:c>
      <x:c r="C143" s="58" t="str"/>
      <x:c r="D143" s="58" t="str"/>
      <x:c r="E143" s="60" t="str">
        <x:f>IF(OR(C143="",D143=""),"",C143-1.96*D143)</x:f>
      </x:c>
      <x:c r="F143" s="60" t="str">
        <x:f>IF(OR(C143="",D143=""),"",C143+1.96*D143)</x:f>
      </x:c>
    </x:row>
    <x:row r="144">
      <x:c r="A144" s="46" t="n">
        <x:v>7.1</x:v>
      </x:c>
      <x:c r="B144" s="46" t="n">
        <x:v>0.9204458440559125</x:v>
      </x:c>
      <x:c r="C144" s="58" t="str"/>
      <x:c r="D144" s="58" t="str"/>
      <x:c r="E144" s="60" t="str">
        <x:f>IF(OR(C144="",D144=""),"",C144-1.96*D144)</x:f>
      </x:c>
      <x:c r="F144" s="60" t="str">
        <x:f>IF(OR(C144="",D144=""),"",C144+1.96*D144)</x:f>
      </x:c>
    </x:row>
    <x:row r="145">
      <x:c r="A145" s="46" t="n">
        <x:v>7.15</x:v>
      </x:c>
      <x:c r="B145" s="46" t="n">
        <x:v>0.8979514207608139</x:v>
      </x:c>
      <x:c r="C145" s="58" t="str"/>
      <x:c r="D145" s="58" t="str"/>
      <x:c r="E145" s="60" t="str">
        <x:f>IF(OR(C145="",D145=""),"",C145-1.96*D145)</x:f>
      </x:c>
      <x:c r="F145" s="60" t="str">
        <x:f>IF(OR(C145="",D145=""),"",C145+1.96*D145)</x:f>
      </x:c>
    </x:row>
    <x:row r="146">
      <x:c r="A146" s="46" t="n">
        <x:v>7.2</x:v>
      </x:c>
      <x:c r="B146" s="46" t="n">
        <x:v>0.8718435147829922</x:v>
      </x:c>
      <x:c r="C146" s="58" t="str"/>
      <x:c r="D146" s="58" t="str"/>
      <x:c r="E146" s="60" t="str">
        <x:f>IF(OR(C146="",D146=""),"",C146-1.96*D146)</x:f>
      </x:c>
      <x:c r="F146" s="60" t="str">
        <x:f>IF(OR(C146="",D146=""),"",C146+1.96*D146)</x:f>
      </x:c>
    </x:row>
    <x:row r="147">
      <x:c r="A147" s="46" t="n">
        <x:v>7.25</x:v>
      </x:c>
      <x:c r="B147" s="46" t="n">
        <x:v>0.8418558020829552</x:v>
      </x:c>
      <x:c r="C147" s="58" t="str"/>
      <x:c r="D147" s="58" t="str"/>
      <x:c r="E147" s="60" t="str">
        <x:f>IF(OR(C147="",D147=""),"",C147-1.96*D147)</x:f>
      </x:c>
      <x:c r="F147" s="60" t="str">
        <x:f>IF(OR(C147="",D147=""),"",C147+1.96*D147)</x:f>
      </x:c>
    </x:row>
    <x:row r="148">
      <x:c r="A148" s="46" t="n">
        <x:v>7.3</x:v>
      </x:c>
      <x:c r="B148" s="46" t="n">
        <x:v>0.8077793901089447</x:v>
      </x:c>
      <x:c r="C148" s="58" t="str"/>
      <x:c r="D148" s="58" t="str"/>
      <x:c r="E148" s="60" t="str">
        <x:f>IF(OR(C148="",D148=""),"",C148-1.96*D148)</x:f>
      </x:c>
      <x:c r="F148" s="60" t="str">
        <x:f>IF(OR(C148="",D148=""),"",C148+1.96*D148)</x:f>
      </x:c>
    </x:row>
    <x:row r="149">
      <x:c r="A149" s="46" t="n">
        <x:v>7.35</x:v>
      </x:c>
      <x:c r="B149" s="46" t="n">
        <x:v>0.7694691997669538</x:v>
      </x:c>
      <x:c r="C149" s="58" t="str"/>
      <x:c r="D149" s="58" t="str"/>
      <x:c r="E149" s="60" t="str">
        <x:f>IF(OR(C149="",D149=""),"",C149-1.96*D149)</x:f>
      </x:c>
      <x:c r="F149" s="60" t="str">
        <x:f>IF(OR(C149="",D149=""),"",C149+1.96*D149)</x:f>
      </x:c>
    </x:row>
    <x:row r="150">
      <x:c r="A150" s="46" t="n">
        <x:v>7.4</x:v>
      </x:c>
      <x:c r="B150" s="46" t="n">
        <x:v>0.7268493515579907</x:v>
      </x:c>
      <x:c r="C150" s="58" t="str"/>
      <x:c r="D150" s="58" t="str"/>
      <x:c r="E150" s="60" t="str">
        <x:f>IF(OR(C150="",D150=""),"",C150-1.96*D150)</x:f>
      </x:c>
      <x:c r="F150" s="60" t="str">
        <x:f>IF(OR(C150="",D150=""),"",C150+1.96*D150)</x:f>
      </x:c>
    </x:row>
    <x:row r="151">
      <x:c r="A151" s="46" t="n">
        <x:v>7.45</x:v>
      </x:c>
      <x:c r="B151" s="46" t="n">
        <x:v>0.679917458646975</x:v>
      </x:c>
      <x:c r="C151" s="58" t="str"/>
      <x:c r="D151" s="58" t="str"/>
      <x:c r="E151" s="60" t="str">
        <x:f>IF(OR(C151="",D151=""),"",C151-1.96*D151)</x:f>
      </x:c>
      <x:c r="F151" s="60" t="str">
        <x:f>IF(OR(C151="",D151=""),"",C151+1.96*D151)</x:f>
      </x:c>
    </x:row>
    <x:row r="152">
      <x:c r="A152" s="46" t="n">
        <x:v>7.5</x:v>
      </x:c>
      <x:c r="B152" s="46" t="n">
        <x:v>0.628747746740459</x:v>
      </x:c>
      <x:c r="C152" s="58" t="str"/>
      <x:c r="D152" s="58" t="str"/>
      <x:c r="E152" s="60" t="str">
        <x:f>IF(OR(C152="",D152=""),"",C152-1.96*D152)</x:f>
      </x:c>
      <x:c r="F152" s="60" t="str">
        <x:f>IF(OR(C152="",D152=""),"",C152+1.96*D152)</x:f>
      </x:c>
    </x:row>
    <x:row r="153">
      <x:c r="A153" s="46" t="n">
        <x:v>7.55</x:v>
      </x:c>
      <x:c r="B153" s="46" t="n">
        <x:v>0.5734929390690211</x:v>
      </x:c>
      <x:c r="C153" s="58" t="str"/>
      <x:c r="D153" s="58" t="str"/>
      <x:c r="E153" s="60" t="str">
        <x:f>IF(OR(C153="",D153=""),"",C153-1.96*D153)</x:f>
      </x:c>
      <x:c r="F153" s="60" t="str">
        <x:f>IF(OR(C153="",D153=""),"",C153+1.96*D153)</x:f>
      </x:c>
    </x:row>
    <x:row r="154">
      <x:c r="A154" s="46" t="n">
        <x:v>7.6</x:v>
      </x:c>
      <x:c r="B154" s="46" t="n">
        <x:v>0.5143848642065857</x:v>
      </x:c>
      <x:c r="C154" s="58" t="str"/>
      <x:c r="D154" s="58" t="str"/>
      <x:c r="E154" s="60" t="str">
        <x:f>IF(OR(C154="",D154=""),"",C154-1.96*D154)</x:f>
      </x:c>
      <x:c r="F154" s="60" t="str">
        <x:f>IF(OR(C154="",D154=""),"",C154+1.96*D154)</x:f>
      </x:c>
    </x:row>
    <x:row r="155">
      <x:c r="A155" s="46" t="n">
        <x:v>7.65</x:v>
      </x:c>
      <x:c r="B155" s="46" t="n">
        <x:v>0.4517337646092708</x:v>
      </x:c>
      <x:c r="C155" s="58" t="str"/>
      <x:c r="D155" s="58" t="str"/>
      <x:c r="E155" s="60" t="str">
        <x:f>IF(OR(C155="",D155=""),"",C155-1.96*D155)</x:f>
      </x:c>
      <x:c r="F155" s="60" t="str">
        <x:f>IF(OR(C155="",D155=""),"",C155+1.96*D155)</x:f>
      </x:c>
    </x:row>
    <x:row r="156">
      <x:c r="A156" s="46" t="n">
        <x:v>7.7</x:v>
      </x:c>
      <x:c r="B156" s="46" t="n">
        <x:v>0.3859263043051795</x:v>
      </x:c>
      <x:c r="C156" s="58" t="str"/>
      <x:c r="D156" s="58" t="str"/>
      <x:c r="E156" s="60" t="str">
        <x:f>IF(OR(C156="",D156=""),"",C156-1.96*D156)</x:f>
      </x:c>
      <x:c r="F156" s="60" t="str">
        <x:f>IF(OR(C156="",D156=""),"",C156+1.96*D156)</x:f>
      </x:c>
    </x:row>
    <x:row r="157">
      <x:c r="A157" s="46" t="n">
        <x:v>7.75</x:v>
      </x:c>
      <x:c r="B157" s="46" t="n">
        <x:v>0.3174222947919942</x:v>
      </x:c>
      <x:c r="C157" s="58" t="str"/>
      <x:c r="D157" s="58" t="str"/>
      <x:c r="E157" s="60" t="str">
        <x:f>IF(OR(C157="",D157=""),"",C157-1.96*D157)</x:f>
      </x:c>
      <x:c r="F157" s="60" t="str">
        <x:f>IF(OR(C157="",D157=""),"",C157+1.96*D157)</x:f>
      </x:c>
    </x:row>
    <x:row r="158">
      <x:c r="A158" s="46" t="n">
        <x:v>7.8</x:v>
      </x:c>
      <x:c r="B158" s="46" t="n">
        <x:v>0.24675017857822684</x:v>
      </x:c>
      <x:c r="C158" s="58" t="str"/>
      <x:c r="D158" s="58" t="str"/>
      <x:c r="E158" s="60" t="str">
        <x:f>IF(OR(C158="",D158=""),"",C158-1.96*D158)</x:f>
      </x:c>
      <x:c r="F158" s="60" t="str">
        <x:f>IF(OR(C158="",D158=""),"",C158+1.96*D158)</x:f>
      </x:c>
    </x:row>
    <x:row r="159">
      <x:c r="A159" s="46" t="n">
        <x:v>7.85</x:v>
      </x:c>
      <x:c r="B159" s="46" t="n">
        <x:v>0.17450132961666098</x:v>
      </x:c>
      <x:c r="C159" s="58" t="str"/>
      <x:c r="D159" s="58" t="str"/>
      <x:c r="E159" s="60" t="str">
        <x:f>IF(OR(C159="",D159=""),"",C159-1.96*D159)</x:f>
      </x:c>
      <x:c r="F159" s="60" t="str">
        <x:f>IF(OR(C159="",D159=""),"",C159+1.96*D159)</x:f>
      </x:c>
    </x:row>
    <x:row r="160">
      <x:c r="A160" s="46" t="n">
        <x:v>7.9</x:v>
      </x:c>
      <x:c r="B160" s="46" t="n">
        <x:v>0.10132324881424737</x:v>
      </x:c>
      <x:c r="C160" s="58" t="str"/>
      <x:c r="D160" s="58" t="str"/>
      <x:c r="E160" s="60" t="str">
        <x:f>IF(OR(C160="",D160=""),"",C160-1.96*D160)</x:f>
      </x:c>
      <x:c r="F160" s="60" t="str">
        <x:f>IF(OR(C160="",D160=""),"",C160+1.96*D160)</x:f>
      </x:c>
    </x:row>
    <x:row r="161">
      <x:c r="A161" s="46" t="n">
        <x:v>7.95</x:v>
      </x:c>
      <x:c r="B161" s="46" t="n">
        <x:v>0.02791175056368922</x:v>
      </x:c>
      <x:c r="C161" s="58" t="str"/>
      <x:c r="D161" s="58" t="str"/>
      <x:c r="E161" s="60" t="str">
        <x:f>IF(OR(C161="",D161=""),"",C161-1.96*D161)</x:f>
      </x:c>
      <x:c r="F161" s="60" t="str">
        <x:f>IF(OR(C161="",D161=""),"",C161+1.96*D161)</x:f>
      </x:c>
    </x:row>
    <x:row r="162">
      <x:c r="A162" s="46" t="n">
        <x:v>8</x:v>
      </x:c>
      <x:c r="B162" s="46" t="n">
        <x:v>-0.04499774745096652</x:v>
      </x:c>
      <x:c r="C162" s="58" t="str"/>
      <x:c r="D162" s="58" t="str"/>
      <x:c r="E162" s="60" t="str">
        <x:f>IF(OR(C162="",D162=""),"",C162-1.96*D162)</x:f>
      </x:c>
      <x:c r="F162" s="60" t="str">
        <x:f>IF(OR(C162="",D162=""),"",C162+1.96*D162)</x:f>
      </x:c>
    </x:row>
    <x:row r="163">
      <x:c r="A163" s="46" t="n">
        <x:v>8.05</x:v>
      </x:c>
      <x:c r="B163" s="46" t="n">
        <x:v>-0.1166397043261177</x:v>
      </x:c>
      <x:c r="C163" s="58" t="str"/>
      <x:c r="D163" s="58" t="str"/>
      <x:c r="E163" s="60" t="str">
        <x:f>IF(OR(C163="",D163=""),"",C163-1.96*D163)</x:f>
      </x:c>
      <x:c r="F163" s="60" t="str">
        <x:f>IF(OR(C163="",D163=""),"",C163+1.96*D163)</x:f>
      </x:c>
    </x:row>
    <x:row r="164">
      <x:c r="A164" s="46" t="n">
        <x:v>8.1</x:v>
      </x:c>
      <x:c r="B164" s="46" t="n">
        <x:v>-0.18622856638404117</x:v>
      </x:c>
      <x:c r="C164" s="58" t="str"/>
      <x:c r="D164" s="58" t="str"/>
      <x:c r="E164" s="60" t="str">
        <x:f>IF(OR(C164="",D164=""),"",C164-1.96*D164)</x:f>
      </x:c>
      <x:c r="F164" s="60" t="str">
        <x:f>IF(OR(C164="",D164=""),"",C164+1.96*D164)</x:f>
      </x:c>
    </x:row>
    <x:row r="165">
      <x:c r="A165" s="46" t="n">
        <x:v>8.15</x:v>
      </x:c>
      <x:c r="B165" s="46" t="n">
        <x:v>-0.2529693579743949</x:v>
      </x:c>
      <x:c r="C165" s="58" t="str"/>
      <x:c r="D165" s="58" t="str"/>
      <x:c r="E165" s="60" t="str">
        <x:f>IF(OR(C165="",D165=""),"",C165-1.96*D165)</x:f>
      </x:c>
      <x:c r="F165" s="60" t="str">
        <x:f>IF(OR(C165="",D165=""),"",C165+1.96*D165)</x:f>
      </x:c>
    </x:row>
    <x:row r="166">
      <x:c r="A166" s="46" t="n">
        <x:v>8.2</x:v>
      </x:c>
      <x:c r="B166" s="46" t="n">
        <x:v>-0.31606859440854795</x:v>
      </x:c>
      <x:c r="C166" s="58" t="str"/>
      <x:c r="D166" s="58" t="str"/>
      <x:c r="E166" s="60" t="str">
        <x:f>IF(OR(C166="",D166=""),"",C166-1.96*D166)</x:f>
      </x:c>
      <x:c r="F166" s="60" t="str">
        <x:f>IF(OR(C166="",D166=""),"",C166+1.96*D166)</x:f>
      </x:c>
    </x:row>
    <x:row r="167">
      <x:c r="A167" s="46" t="n">
        <x:v>8.25</x:v>
      </x:c>
      <x:c r="B167" s="46" t="n">
        <x:v>-0.37474535303724144</x:v>
      </x:c>
      <x:c r="C167" s="58" t="str"/>
      <x:c r="D167" s="58" t="str"/>
      <x:c r="E167" s="60" t="str">
        <x:f>IF(OR(C167="",D167=""),"",C167-1.96*D167)</x:f>
      </x:c>
      <x:c r="F167" s="60" t="str">
        <x:f>IF(OR(C167="",D167=""),"",C167+1.96*D167)</x:f>
      </x:c>
    </x:row>
    <x:row r="168">
      <x:c r="A168" s="46" t="n">
        <x:v>8.3</x:v>
      </x:c>
      <x:c r="B168" s="46" t="n">
        <x:v>-0.4282423352480448</x:v>
      </x:c>
      <x:c r="C168" s="58" t="str"/>
      <x:c r="D168" s="58" t="str"/>
      <x:c r="E168" s="60" t="str">
        <x:f>IF(OR(C168="",D168=""),"",C168-1.96*D168)</x:f>
      </x:c>
      <x:c r="F168" s="60" t="str">
        <x:f>IF(OR(C168="",D168=""),"",C168+1.96*D168)</x:f>
      </x:c>
    </x:row>
    <x:row r="169">
      <x:c r="A169" s="46" t="n">
        <x:v>8.35</x:v>
      </x:c>
      <x:c r="B169" s="46" t="n">
        <x:v>-0.4758367515112477</x:v>
      </x:c>
      <x:c r="C169" s="58" t="str"/>
      <x:c r="D169" s="58" t="str"/>
      <x:c r="E169" s="60" t="str">
        <x:f>IF(OR(C169="",D169=""),"",C169-1.96*D169)</x:f>
      </x:c>
      <x:c r="F169" s="60" t="str">
        <x:f>IF(OR(C169="",D169=""),"",C169+1.96*D169)</x:f>
      </x:c>
    </x:row>
    <x:row r="170">
      <x:c r="A170" s="46" t="n">
        <x:v>8.4</x:v>
      </x:c>
      <x:c r="B170" s="46" t="n">
        <x:v>-0.516850863554459</x:v>
      </x:c>
      <x:c r="C170" s="58" t="str"/>
      <x:c r="D170" s="58" t="str"/>
      <x:c r="E170" s="60" t="str">
        <x:f>IF(OR(C170="",D170=""),"",C170-1.96*D170)</x:f>
      </x:c>
      <x:c r="F170" s="60" t="str">
        <x:f>IF(OR(C170="",D170=""),"",C170+1.96*D170)</x:f>
      </x:c>
    </x:row>
    <x:row r="171">
      <x:c r="A171" s="46" t="n">
        <x:v>8.45</x:v>
      </x:c>
      <x:c r="B171" s="46" t="n">
        <x:v>-0.5506620222703222</x:v>
      </x:c>
      <x:c r="C171" s="58" t="str"/>
      <x:c r="D171" s="58" t="str"/>
      <x:c r="E171" s="60" t="str">
        <x:f>IF(OR(C171="",D171=""),"",C171-1.96*D171)</x:f>
      </x:c>
      <x:c r="F171" s="60" t="str">
        <x:f>IF(OR(C171="",D171=""),"",C171+1.96*D171)</x:f>
      </x:c>
    </x:row>
    <x:row r="172">
      <x:c r="A172" s="46" t="n">
        <x:v>8.5</x:v>
      </x:c>
      <x:c r="B172" s="46" t="n">
        <x:v>-0.5767120469912862</x:v>
      </x:c>
      <x:c r="C172" s="58" t="str"/>
      <x:c r="D172" s="58" t="str"/>
      <x:c r="E172" s="60" t="str">
        <x:f>IF(OR(C172="",D172=""),"",C172-1.96*D172)</x:f>
      </x:c>
      <x:c r="F172" s="60" t="str">
        <x:f>IF(OR(C172="",D172=""),"",C172+1.96*D172)</x:f>
      </x:c>
    </x:row>
    <x:row r="173">
      <x:c r="A173" s="46" t="n">
        <x:v>8.55</x:v>
      </x:c>
      <x:c r="B173" s="46" t="n">
        <x:v>-0.5945158011941271</x:v>
      </x:c>
      <x:c r="C173" s="58" t="str"/>
      <x:c r="D173" s="58" t="str"/>
      <x:c r="E173" s="60" t="str">
        <x:f>IF(OR(C173="",D173=""),"",C173-1.96*D173)</x:f>
      </x:c>
      <x:c r="F173" s="60" t="str">
        <x:f>IF(OR(C173="",D173=""),"",C173+1.96*D173)</x:f>
      </x:c>
    </x:row>
    <x:row r="174">
      <x:c r="A174" s="46" t="n">
        <x:v>8.6</x:v>
      </x:c>
      <x:c r="B174" s="46" t="n">
        <x:v>-0.6036688313813516</x:v>
      </x:c>
      <x:c r="C174" s="58" t="str"/>
      <x:c r="D174" s="58" t="str"/>
      <x:c r="E174" s="60" t="str">
        <x:f>IF(OR(C174="",D174=""),"",C174-1.96*D174)</x:f>
      </x:c>
      <x:c r="F174" s="60" t="str">
        <x:f>IF(OR(C174="",D174=""),"",C174+1.96*D174)</x:f>
      </x:c>
    </x:row>
    <x:row r="175">
      <x:c r="A175" s="46" t="n">
        <x:v>8.65</x:v>
      </x:c>
      <x:c r="B175" s="46" t="n">
        <x:v>-0.6038539496480394</x:v>
      </x:c>
      <x:c r="C175" s="58" t="str"/>
      <x:c r="D175" s="58" t="str"/>
      <x:c r="E175" s="60" t="str">
        <x:f>IF(OR(C175="",D175=""),"",C175-1.96*D175)</x:f>
      </x:c>
      <x:c r="F175" s="60" t="str">
        <x:f>IF(OR(C175="",D175=""),"",C175+1.96*D175)</x:f>
      </x:c>
    </x:row>
    <x:row r="176">
      <x:c r="A176" s="46" t="n">
        <x:v>8.7</x:v>
      </x:c>
      <x:c r="B176" s="46" t="n">
        <x:v>-0.5948466560699317</x:v>
      </x:c>
      <x:c r="C176" s="58" t="str"/>
      <x:c r="D176" s="58" t="str"/>
      <x:c r="E176" s="60" t="str">
        <x:f>IF(OR(C176="",D176=""),"",C176-1.96*D176)</x:f>
      </x:c>
      <x:c r="F176" s="60" t="str">
        <x:f>IF(OR(C176="",D176=""),"",C176+1.96*D176)</x:f>
      </x:c>
    </x:row>
    <x:row r="177">
      <x:c r="A177" s="46" t="n">
        <x:v>8.75</x:v>
      </x:c>
      <x:c r="B177" s="46" t="n">
        <x:v>-0.5765193143014214</x:v>
      </x:c>
      <x:c r="C177" s="58" t="str"/>
      <x:c r="D177" s="58" t="str"/>
      <x:c r="E177" s="60" t="str">
        <x:f>IF(OR(C177="",D177=""),"",C177-1.96*D177)</x:f>
      </x:c>
      <x:c r="F177" s="60" t="str">
        <x:f>IF(OR(C177="",D177=""),"",C177+1.96*D177)</x:f>
      </x:c>
    </x:row>
    <x:row r="178">
      <x:c r="A178" s="46" t="n">
        <x:v>8.8</x:v>
      </x:c>
      <x:c r="B178" s="46" t="n">
        <x:v>-0.5488440123849719</x:v>
      </x:c>
      <x:c r="C178" s="58" t="str"/>
      <x:c r="D178" s="58" t="str"/>
      <x:c r="E178" s="60" t="str">
        <x:f>IF(OR(C178="",D178=""),"",C178-1.96*D178)</x:f>
      </x:c>
      <x:c r="F178" s="60" t="str">
        <x:f>IF(OR(C178="",D178=""),"",C178+1.96*D178)</x:f>
      </x:c>
    </x:row>
    <x:row r="179">
      <x:c r="A179" s="46" t="n">
        <x:v>8.85</x:v>
      </x:c>
      <x:c r="B179" s="46" t="n">
        <x:v>-0.5118940604593671</x:v>
      </x:c>
      <x:c r="C179" s="58" t="str"/>
      <x:c r="D179" s="58" t="str"/>
      <x:c r="E179" s="60" t="str">
        <x:f>IF(OR(C179="",D179=""),"",C179-1.96*D179)</x:f>
      </x:c>
      <x:c r="F179" s="60" t="str">
        <x:f>IF(OR(C179="",D179=""),"",C179+1.96*D179)</x:f>
      </x:c>
    </x:row>
    <x:row r="180">
      <x:c r="A180" s="46" t="n">
        <x:v>8.9</x:v>
      </x:c>
      <x:c r="B180" s="46" t="n">
        <x:v>-0.46584409750955647</x:v>
      </x:c>
      <x:c r="C180" s="58" t="str"/>
      <x:c r="D180" s="58" t="str"/>
      <x:c r="E180" s="60" t="str">
        <x:f>IF(OR(C180="",D180=""),"",C180-1.96*D180)</x:f>
      </x:c>
      <x:c r="F180" s="60" t="str">
        <x:f>IF(OR(C180="",D180=""),"",C180+1.96*D180)</x:f>
      </x:c>
    </x:row>
    <x:row r="181">
      <x:c r="A181" s="46" t="n">
        <x:v>8.95</x:v>
      </x:c>
      <x:c r="B181" s="46" t="n">
        <x:v>-0.4109688002098315</x:v>
      </x:c>
      <x:c r="C181" s="58" t="str"/>
      <x:c r="D181" s="58" t="str"/>
      <x:c r="E181" s="60" t="str">
        <x:f>IF(OR(C181="",D181=""),"",C181-1.96*D181)</x:f>
      </x:c>
      <x:c r="F181" s="60" t="str">
        <x:f>IF(OR(C181="",D181=""),"",C181+1.96*D181)</x:f>
      </x:c>
    </x:row>
    <x:row r="182">
      <x:c r="A182" s="46" t="n">
        <x:v>9</x:v>
      </x:c>
      <x:c r="B182" s="46" t="n">
        <x:v>-0.3476402079517624</x:v>
      </x:c>
      <x:c r="C182" s="58" t="str"/>
      <x:c r="D182" s="58" t="str"/>
      <x:c r="E182" s="60" t="str">
        <x:f>IF(OR(C182="",D182=""),"",C182-1.96*D182)</x:f>
      </x:c>
      <x:c r="F182" s="60" t="str">
        <x:f>IF(OR(C182="",D182=""),"",C182+1.96*D182)</x:f>
      </x:c>
    </x:row>
    <x:row r="183">
      <x:c r="A183" s="46" t="n">
        <x:v>9.05</x:v>
      </x:c>
      <x:c r="B183" s="46" t="n">
        <x:v>-0.27632369899375686</x:v>
      </x:c>
      <x:c r="C183" s="58" t="str"/>
      <x:c r="D183" s="58" t="str"/>
      <x:c r="E183" s="60" t="str">
        <x:f>IF(OR(C183="",D183=""),"",C183-1.96*D183)</x:f>
      </x:c>
      <x:c r="F183" s="60" t="str">
        <x:f>IF(OR(C183="",D183=""),"",C183+1.96*D183)</x:f>
      </x:c>
    </x:row>
    <x:row r="184">
      <x:c r="A184" s="46" t="n">
        <x:v>9.1</x:v>
      </x:c>
      <x:c r="B184" s="46" t="n">
        <x:v>-0.19757267299802372</x:v>
      </x:c>
      <x:c r="C184" s="58" t="str"/>
      <x:c r="D184" s="58" t="str"/>
      <x:c r="E184" s="60" t="str">
        <x:f>IF(OR(C184="",D184=""),"",C184-1.96*D184)</x:f>
      </x:c>
      <x:c r="F184" s="60" t="str">
        <x:f>IF(OR(C184="",D184=""),"",C184+1.96*D184)</x:f>
      </x:c>
    </x:row>
    <x:row r="185">
      <x:c r="A185" s="46" t="n">
        <x:v>9.15</x:v>
      </x:c>
      <x:c r="B185" s="46" t="n">
        <x:v>-0.11202201471911966</x:v>
      </x:c>
      <x:c r="C185" s="58" t="str"/>
      <x:c r="D185" s="58" t="str"/>
      <x:c r="E185" s="60" t="str">
        <x:f>IF(OR(C185="",D185=""),"",C185-1.96*D185)</x:f>
      </x:c>
      <x:c r="F185" s="60" t="str">
        <x:f>IF(OR(C185="",D185=""),"",C185+1.96*D185)</x:f>
      </x:c>
    </x:row>
    <x:row r="186">
      <x:c r="A186" s="46" t="n">
        <x:v>9.2</x:v>
      </x:c>
      <x:c r="B186" s="46" t="n">
        <x:v>-0.020380431974584612</x:v>
      </x:c>
      <x:c r="C186" s="58" t="str"/>
      <x:c r="D186" s="58" t="str"/>
      <x:c r="E186" s="60" t="str">
        <x:f>IF(OR(C186="",D186=""),"",C186-1.96*D186)</x:f>
      </x:c>
      <x:c r="F186" s="60" t="str">
        <x:f>IF(OR(C186="",D186=""),"",C186+1.96*D186)</x:f>
      </x:c>
    </x:row>
    <x:row r="187">
      <x:c r="A187" s="46" t="n">
        <x:v>9.25</x:v>
      </x:c>
      <x:c r="B187" s="46" t="n">
        <x:v>0.07657822202131614</x:v>
      </x:c>
      <x:c r="C187" s="58" t="str"/>
      <x:c r="D187" s="58" t="str"/>
      <x:c r="E187" s="60" t="str">
        <x:f>IF(OR(C187="",D187=""),"",C187-1.96*D187)</x:f>
      </x:c>
      <x:c r="F187" s="60" t="str">
        <x:f>IF(OR(C187="",D187=""),"",C187+1.96*D187)</x:f>
      </x:c>
    </x:row>
    <x:row r="188">
      <x:c r="A188" s="46" t="n">
        <x:v>9.3</x:v>
      </x:c>
      <x:c r="B188" s="46" t="n">
        <x:v>0.17802451660681695</x:v>
      </x:c>
      <x:c r="C188" s="58" t="str"/>
      <x:c r="D188" s="58" t="str"/>
      <x:c r="E188" s="60" t="str">
        <x:f>IF(OR(C188="",D188=""),"",C188-1.96*D188)</x:f>
      </x:c>
      <x:c r="F188" s="60" t="str">
        <x:f>IF(OR(C188="",D188=""),"",C188+1.96*D188)</x:f>
      </x:c>
    </x:row>
    <x:row r="189">
      <x:c r="A189" s="46" t="n">
        <x:v>9.35</x:v>
      </x:c>
      <x:c r="B189" s="46" t="n">
        <x:v>0.28308376319187056</x:v>
      </x:c>
      <x:c r="C189" s="58" t="str"/>
      <x:c r="D189" s="58" t="str"/>
      <x:c r="E189" s="60" t="str">
        <x:f>IF(OR(C189="",D189=""),"",C189-1.96*D189)</x:f>
      </x:c>
      <x:c r="F189" s="60" t="str">
        <x:f>IF(OR(C189="",D189=""),"",C189+1.96*D189)</x:f>
      </x:c>
    </x:row>
    <x:row r="190">
      <x:c r="A190" s="46" t="n">
        <x:v>9.4</x:v>
      </x:c>
      <x:c r="B190" s="46" t="n">
        <x:v>0.39084693639494</x:v>
      </x:c>
      <x:c r="C190" s="58" t="str"/>
      <x:c r="D190" s="58" t="str"/>
      <x:c r="E190" s="60" t="str">
        <x:f>IF(OR(C190="",D190=""),"",C190-1.96*D190)</x:f>
      </x:c>
      <x:c r="F190" s="60" t="str">
        <x:f>IF(OR(C190="",D190=""),"",C190+1.96*D190)</x:f>
      </x:c>
    </x:row>
    <x:row r="191">
      <x:c r="A191" s="46" t="n">
        <x:v>9.45</x:v>
      </x:c>
      <x:c r="B191" s="46" t="n">
        <x:v>0.5003820378987482</x:v>
      </x:c>
      <x:c r="C191" s="58" t="str"/>
      <x:c r="D191" s="58" t="str"/>
      <x:c r="E191" s="60" t="str">
        <x:f>IF(OR(C191="",D191=""),"",C191-1.96*D191)</x:f>
      </x:c>
      <x:c r="F191" s="60" t="str">
        <x:f>IF(OR(C191="",D191=""),"",C191+1.96*D191)</x:f>
      </x:c>
    </x:row>
    <x:row r="192">
      <x:c r="A192" s="46" t="n">
        <x:v>9.5</x:v>
      </x:c>
      <x:c r="B192" s="46" t="n">
        <x:v>0.6107457376111862</x:v>
      </x:c>
      <x:c r="C192" s="58" t="str"/>
      <x:c r="D192" s="58" t="str"/>
      <x:c r="E192" s="60" t="str">
        <x:f>IF(OR(C192="",D192=""),"",C192-1.96*D192)</x:f>
      </x:c>
      <x:c r="F192" s="60" t="str">
        <x:f>IF(OR(C192="",D192=""),"",C192+1.96*D192)</x:f>
      </x:c>
    </x:row>
    <x:row r="193">
      <x:c r="A193" s="46" t="n">
        <x:v>9.55</x:v>
      </x:c>
      <x:c r="B193" s="46" t="n">
        <x:v>0.720995122733049</x:v>
      </x:c>
      <x:c r="C193" s="58" t="str"/>
      <x:c r="D193" s="58" t="str"/>
      <x:c r="E193" s="60" t="str">
        <x:f>IF(OR(C193="",D193=""),"",C193-1.96*D193)</x:f>
      </x:c>
      <x:c r="F193" s="60" t="str">
        <x:f>IF(OR(C193="",D193=""),"",C193+1.96*D193)</x:f>
      </x:c>
    </x:row>
    <x:row r="194">
      <x:c r="A194" s="46" t="n">
        <x:v>9.6</x:v>
      </x:c>
      <x:c r="B194" s="46" t="n">
        <x:v>0.8301993839416051</x:v>
      </x:c>
      <x:c r="C194" s="58" t="str"/>
      <x:c r="D194" s="58" t="str"/>
      <x:c r="E194" s="60" t="str">
        <x:f>IF(OR(C194="",D194=""),"",C194-1.96*D194)</x:f>
      </x:c>
      <x:c r="F194" s="60" t="str">
        <x:f>IF(OR(C194="",D194=""),"",C194+1.96*D194)</x:f>
      </x:c>
    </x:row>
    <x:row r="195">
      <x:c r="A195" s="46" t="n">
        <x:v>9.65</x:v>
      </x:c>
      <x:c r="B195" s="46" t="n">
        <x:v>0.9374512691183716</x:v>
      </x:c>
      <x:c r="C195" s="58" t="str"/>
      <x:c r="D195" s="58" t="str"/>
      <x:c r="E195" s="60" t="str">
        <x:f>IF(OR(C195="",D195=""),"",C195-1.96*D195)</x:f>
      </x:c>
      <x:c r="F195" s="60" t="str">
        <x:f>IF(OR(C195="",D195=""),"",C195+1.96*D195)</x:f>
      </x:c>
    </x:row>
    <x:row r="196">
      <x:c r="A196" s="46" t="n">
        <x:v>9.7</x:v>
      </x:c>
      <x:c r="B196" s="46" t="n">
        <x:v>1.0418781388608769</x:v>
      </x:c>
      <x:c r="C196" s="58" t="str"/>
      <x:c r="D196" s="58" t="str"/>
      <x:c r="E196" s="60" t="str">
        <x:f>IF(OR(C196="",D196=""),"",C196-1.96*D196)</x:f>
      </x:c>
      <x:c r="F196" s="60" t="str">
        <x:f>IF(OR(C196="",D196=""),"",C196+1.96*D196)</x:f>
      </x:c>
    </x:row>
    <x:row r="197">
      <x:c r="A197" s="46" t="n">
        <x:v>9.75</x:v>
      </x:c>
      <x:c r="B197" s="46" t="n">
        <x:v>1.1426524643616367</x:v>
      </x:c>
      <x:c r="C197" s="58" t="str"/>
      <x:c r="D197" s="58" t="str"/>
      <x:c r="E197" s="60" t="str">
        <x:f>IF(OR(C197="",D197=""),"",C197-1.96*D197)</x:f>
      </x:c>
      <x:c r="F197" s="60" t="str">
        <x:f>IF(OR(C197="",D197=""),"",C197+1.96*D197)</x:f>
      </x:c>
    </x:row>
    <x:row r="198">
      <x:c r="A198" s="46" t="n">
        <x:v>9.8</x:v>
      </x:c>
      <x:c r="B198" s="46" t="n">
        <x:v>1.2390016170130556</x:v>
      </x:c>
      <x:c r="C198" s="58" t="str"/>
      <x:c r="D198" s="58" t="str"/>
      <x:c r="E198" s="60" t="str">
        <x:f>IF(OR(C198="",D198=""),"",C198-1.96*D198)</x:f>
      </x:c>
      <x:c r="F198" s="60" t="str">
        <x:f>IF(OR(C198="",D198=""),"",C198+1.96*D198)</x:f>
      </x:c>
    </x:row>
    <x:row r="199">
      <x:c r="A199" s="46" t="n">
        <x:v>9.85</x:v>
      </x:c>
      <x:c r="B199" s="46" t="n">
        <x:v>1.330216810167832</x:v>
      </x:c>
      <x:c r="C199" s="58" t="str"/>
      <x:c r="D199" s="58" t="str"/>
      <x:c r="E199" s="60" t="str">
        <x:f>IF(OR(C199="",D199=""),"",C199-1.96*D199)</x:f>
      </x:c>
      <x:c r="F199" s="60" t="str">
        <x:f>IF(OR(C199="",D199=""),"",C199+1.96*D199)</x:f>
      </x:c>
    </x:row>
    <x:row r="200">
      <x:c r="A200" s="46" t="n">
        <x:v>9.9</x:v>
      </x:c>
      <x:c r="B200" s="46" t="n">
        <x:v>1.4156610666772629</x:v>
      </x:c>
      <x:c r="C200" s="58" t="str"/>
      <x:c r="D200" s="58" t="str"/>
      <x:c r="E200" s="60" t="str">
        <x:f>IF(OR(C200="",D200=""),"",C200-1.96*D200)</x:f>
      </x:c>
      <x:c r="F200" s="60" t="str">
        <x:f>IF(OR(C200="",D200=""),"",C200+1.96*D200)</x:f>
      </x:c>
    </x:row>
    <x:row r="201">
      <x:c r="A201" s="46" t="n">
        <x:v>9.95</x:v>
      </x:c>
      <x:c r="B201" s="46" t="n">
        <x:v>1.4947761009392933</x:v>
      </x:c>
      <x:c r="C201" s="58" t="str"/>
      <x:c r="D201" s="58" t="str"/>
      <x:c r="E201" s="60" t="str">
        <x:f>IF(OR(C201="",D201=""),"",C201-1.96*D201)</x:f>
      </x:c>
      <x:c r="F201" s="60" t="str">
        <x:f>IF(OR(C201="",D201=""),"",C201+1.96*D201)</x:f>
      </x:c>
    </x:row>
    <x:row r="202">
      <x:c r="A202" s="46" t="n">
        <x:v>10</x:v>
      </x:c>
      <x:c r="B202" s="46" t="n">
        <x:v>1.5670880209788567</x:v>
      </x:c>
      <x:c r="C202" s="58" t="str"/>
      <x:c r="D202" s="58" t="str"/>
      <x:c r="E202" s="60" t="str">
        <x:f>IF(OR(C202="",D202=""),"",C202-1.96*D202)</x:f>
      </x:c>
      <x:c r="F202" s="60" t="str">
        <x:f>IF(OR(C202="",D202=""),"",C202+1.96*D202)</x:f>
      </x:c>
    </x:row>
  </x:sheetData>
  <x:mergeCells>
    <x:mergeCell ref="H20:M22"/>
  </x:mergeCells>
  <x:pageMargins left="0.7" right="0.7" top="0.75" bottom="0.75" header="0.3" footer="0.3"/>
  <x:drawing xmlns:r="http://schemas.openxmlformats.org/officeDocument/2006/relationships" r:id="R20352cd22f364a48"/>
  <x:tableParts count="1">
    <x:tablePart xmlns:r="http://schemas.openxmlformats.org/officeDocument/2006/relationships" r:id="R722d22c08acc4c81"/>
  </x:tableParts>
</x:worksheet>
</file>